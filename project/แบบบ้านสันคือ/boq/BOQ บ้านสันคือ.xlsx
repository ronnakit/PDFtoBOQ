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USER\Dropbox\ข้อมูลส่วนตัว\งานนอก\143-บ้านสันคือ\"/>
    </mc:Choice>
  </mc:AlternateContent>
  <xr:revisionPtr revIDLastSave="0" documentId="13_ncr:1_{8AEBF3A4-B961-46ED-8585-297ED387EE43}" xr6:coauthVersionLast="47" xr6:coauthVersionMax="47" xr10:uidLastSave="{00000000-0000-0000-0000-000000000000}"/>
  <bookViews>
    <workbookView xWindow="-120" yWindow="-120" windowWidth="29040" windowHeight="15840" tabRatio="724" activeTab="5" xr2:uid="{00000000-000D-0000-FFFF-FFFF00000000}"/>
  </bookViews>
  <sheets>
    <sheet name="ปร.5" sheetId="48" r:id="rId1"/>
    <sheet name="สรุปราคา" sheetId="50" r:id="rId2"/>
    <sheet name="Str" sheetId="44" r:id="rId3"/>
    <sheet name="arc" sheetId="51" r:id="rId4"/>
    <sheet name="Sn" sheetId="52" r:id="rId5"/>
    <sheet name="EE" sheetId="53" r:id="rId6"/>
  </sheets>
  <externalReferences>
    <externalReference r:id="rId7"/>
  </externalReferences>
  <definedNames>
    <definedName name="_FAC1">[1]สรุป!$C$307</definedName>
    <definedName name="aaaa" hidden="1">{"'SUMMATION'!$B$2:$I$2"}</definedName>
    <definedName name="HTML_CodePage" hidden="1">874</definedName>
    <definedName name="HTML_Control" hidden="1">{"'SUMMATION'!$B$2:$I$2"}</definedName>
    <definedName name="HTML_Description" hidden="1">""</definedName>
    <definedName name="HTML_Email" hidden="1">""</definedName>
    <definedName name="HTML_Header" hidden="1">"SUMMATION"</definedName>
    <definedName name="HTML_LastUpdate" hidden="1">"21/3/02"</definedName>
    <definedName name="HTML_LineAfter" hidden="1">FALSE</definedName>
    <definedName name="HTML_LineBefore" hidden="1">FALSE</definedName>
    <definedName name="HTML_Name" hidden="1">"Estimate_5"</definedName>
    <definedName name="HTML_OBDlg2" hidden="1">TRUE</definedName>
    <definedName name="HTML_OBDlg4" hidden="1">TRUE</definedName>
    <definedName name="HTML_OS" hidden="1">0</definedName>
    <definedName name="HTML_PathFile" hidden="1">"C:\SAni.htm"</definedName>
    <definedName name="HTML_Title" hidden="1">"อาคารเรียนรวม"</definedName>
    <definedName name="_xlnm.Print_Area" localSheetId="3">arc!$A$1:$K$96</definedName>
    <definedName name="_xlnm.Print_Area" localSheetId="5">EE!$A$1:$K$66</definedName>
    <definedName name="_xlnm.Print_Area" localSheetId="4">Sn!$A$1:$K$55</definedName>
    <definedName name="_xlnm.Print_Area" localSheetId="2">Str!$A$1:$K$53</definedName>
    <definedName name="_xlnm.Print_Area" localSheetId="0">ปร.5!$A$1:$U$37</definedName>
    <definedName name="_xlnm.Print_Area" localSheetId="1">สรุปราคา!$A$1:$K$27</definedName>
    <definedName name="_xlnm.Print_Titles" localSheetId="3">arc!$1:$6</definedName>
    <definedName name="_xlnm.Print_Titles" localSheetId="5">EE!$1:$6</definedName>
    <definedName name="_xlnm.Print_Titles" localSheetId="4">Sn!$1:$6</definedName>
    <definedName name="_xlnm.Print_Titles" localSheetId="2">Str!$1:$6</definedName>
    <definedName name="_xlnm.Print_Titles" localSheetId="0">ปร.5!$1:$6</definedName>
    <definedName name="_xlnm.Print_Titles" localSheetId="1">สรุปราคา!$4:$6</definedName>
    <definedName name="x" hidden="1">{"'SUMMATION'!$B$2:$I$2"}</definedName>
    <definedName name="ปก32" hidden="1">{"'SUMMATION'!$B$2:$I$2"}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44" l="1"/>
  <c r="J15" i="44" s="1"/>
  <c r="AD15" i="44" s="1"/>
  <c r="G15" i="44"/>
  <c r="G24" i="52"/>
  <c r="G25" i="52"/>
  <c r="G26" i="52"/>
  <c r="G27" i="52"/>
  <c r="I15" i="51"/>
  <c r="G15" i="51"/>
  <c r="I12" i="51"/>
  <c r="G12" i="51"/>
  <c r="I19" i="51"/>
  <c r="G19" i="51"/>
  <c r="I71" i="51"/>
  <c r="G71" i="51"/>
  <c r="I45" i="51"/>
  <c r="G45" i="51"/>
  <c r="I14" i="51"/>
  <c r="G14" i="51"/>
  <c r="I11" i="51"/>
  <c r="G11" i="51"/>
  <c r="I10" i="51"/>
  <c r="G10" i="51"/>
  <c r="I16" i="51"/>
  <c r="G16" i="51"/>
  <c r="C16" i="51"/>
  <c r="I17" i="51"/>
  <c r="G17" i="51"/>
  <c r="C17" i="51"/>
  <c r="I70" i="51"/>
  <c r="G70" i="51"/>
  <c r="I30" i="51"/>
  <c r="G30" i="51"/>
  <c r="I78" i="51"/>
  <c r="G78" i="51"/>
  <c r="I69" i="51"/>
  <c r="G69" i="51"/>
  <c r="J15" i="51" l="1"/>
  <c r="J12" i="51"/>
  <c r="J19" i="51"/>
  <c r="J71" i="51"/>
  <c r="J45" i="51"/>
  <c r="J14" i="51"/>
  <c r="J11" i="51"/>
  <c r="J10" i="51"/>
  <c r="J16" i="51"/>
  <c r="J17" i="51"/>
  <c r="J70" i="51"/>
  <c r="J30" i="51"/>
  <c r="J78" i="51"/>
  <c r="J69" i="51"/>
  <c r="W22" i="44" l="1"/>
  <c r="Z22" i="44" s="1"/>
  <c r="L22" i="44"/>
  <c r="I22" i="44"/>
  <c r="G22" i="44"/>
  <c r="W23" i="44"/>
  <c r="Z23" i="44" s="1"/>
  <c r="L23" i="44"/>
  <c r="I23" i="44"/>
  <c r="G23" i="44"/>
  <c r="W24" i="44"/>
  <c r="AB24" i="44" s="1"/>
  <c r="L24" i="44"/>
  <c r="I24" i="44"/>
  <c r="G24" i="44"/>
  <c r="W18" i="44"/>
  <c r="AB18" i="44" s="1"/>
  <c r="L18" i="44"/>
  <c r="I18" i="44"/>
  <c r="G18" i="44"/>
  <c r="W19" i="44"/>
  <c r="AB19" i="44" s="1"/>
  <c r="L19" i="44"/>
  <c r="I19" i="44"/>
  <c r="G19" i="44"/>
  <c r="G89" i="51"/>
  <c r="G90" i="51"/>
  <c r="I90" i="51"/>
  <c r="I76" i="51"/>
  <c r="G76" i="51"/>
  <c r="W21" i="44"/>
  <c r="AB21" i="44" s="1"/>
  <c r="L21" i="44"/>
  <c r="I21" i="44"/>
  <c r="G21" i="44"/>
  <c r="J23" i="44" l="1"/>
  <c r="J22" i="44"/>
  <c r="AB22" i="44"/>
  <c r="AC22" i="44" s="1"/>
  <c r="AB23" i="44"/>
  <c r="AC23" i="44" s="1"/>
  <c r="Z24" i="44"/>
  <c r="AC24" i="44" s="1"/>
  <c r="J24" i="44"/>
  <c r="J18" i="44"/>
  <c r="J19" i="44"/>
  <c r="Z19" i="44"/>
  <c r="AC19" i="44" s="1"/>
  <c r="Z18" i="44"/>
  <c r="AC18" i="44" s="1"/>
  <c r="J90" i="51"/>
  <c r="J76" i="51"/>
  <c r="J21" i="44"/>
  <c r="Z21" i="44"/>
  <c r="AC21" i="44" s="1"/>
  <c r="G42" i="44"/>
  <c r="I42" i="44"/>
  <c r="J42" i="44" s="1"/>
  <c r="AD23" i="44" l="1"/>
  <c r="AD22" i="44"/>
  <c r="AD19" i="44"/>
  <c r="AD24" i="44"/>
  <c r="AD18" i="44"/>
  <c r="AD21" i="44"/>
  <c r="L31" i="44"/>
  <c r="I41" i="44"/>
  <c r="G41" i="44"/>
  <c r="I77" i="51"/>
  <c r="G77" i="51"/>
  <c r="I75" i="51"/>
  <c r="G75" i="51"/>
  <c r="J41" i="44" l="1"/>
  <c r="J77" i="51"/>
  <c r="J75" i="51"/>
  <c r="G16" i="52"/>
  <c r="G3" i="44"/>
  <c r="G3" i="51"/>
  <c r="G3" i="52"/>
  <c r="G3" i="53"/>
  <c r="G3" i="50"/>
  <c r="I91" i="51" l="1"/>
  <c r="G91" i="51"/>
  <c r="I18" i="51"/>
  <c r="G18" i="51"/>
  <c r="J18" i="51" l="1"/>
  <c r="J91" i="51"/>
  <c r="I40" i="44" l="1"/>
  <c r="G40" i="44"/>
  <c r="J40" i="44" l="1"/>
  <c r="I44" i="51"/>
  <c r="G44" i="51"/>
  <c r="J44" i="51" l="1"/>
  <c r="I48" i="51" l="1"/>
  <c r="G48" i="51"/>
  <c r="I47" i="51"/>
  <c r="G47" i="51"/>
  <c r="I46" i="51"/>
  <c r="G46" i="51"/>
  <c r="I43" i="51"/>
  <c r="G43" i="51"/>
  <c r="I43" i="44"/>
  <c r="G43" i="44"/>
  <c r="J47" i="51" l="1"/>
  <c r="J46" i="51"/>
  <c r="J48" i="51"/>
  <c r="J43" i="51"/>
  <c r="J43" i="44"/>
  <c r="G33" i="52" l="1"/>
  <c r="I33" i="52"/>
  <c r="I27" i="52"/>
  <c r="I68" i="51"/>
  <c r="G68" i="51"/>
  <c r="J68" i="51" l="1"/>
  <c r="J33" i="52"/>
  <c r="J27" i="52"/>
  <c r="G38" i="51" l="1"/>
  <c r="I29" i="51"/>
  <c r="G29" i="51"/>
  <c r="J29" i="51" l="1"/>
  <c r="L64" i="53" l="1"/>
  <c r="I62" i="53"/>
  <c r="G62" i="53"/>
  <c r="L61" i="53"/>
  <c r="I61" i="53"/>
  <c r="I60" i="53"/>
  <c r="G60" i="53"/>
  <c r="I59" i="53"/>
  <c r="G59" i="53"/>
  <c r="I58" i="53"/>
  <c r="G58" i="53"/>
  <c r="I57" i="53"/>
  <c r="G57" i="53"/>
  <c r="I56" i="53"/>
  <c r="G56" i="53"/>
  <c r="J56" i="53" l="1"/>
  <c r="J62" i="53"/>
  <c r="J59" i="53"/>
  <c r="J57" i="53"/>
  <c r="J58" i="53"/>
  <c r="J60" i="53"/>
  <c r="I64" i="53"/>
  <c r="G61" i="53"/>
  <c r="J61" i="53" s="1"/>
  <c r="G64" i="53" l="1"/>
  <c r="J64" i="53"/>
  <c r="AB35" i="44" l="1"/>
  <c r="Z35" i="44"/>
  <c r="I35" i="44"/>
  <c r="G35" i="44"/>
  <c r="AB34" i="44"/>
  <c r="Z34" i="44"/>
  <c r="I34" i="44"/>
  <c r="G34" i="44"/>
  <c r="AD33" i="44"/>
  <c r="I32" i="44"/>
  <c r="W31" i="44"/>
  <c r="Z31" i="44" s="1"/>
  <c r="I31" i="44"/>
  <c r="G31" i="44"/>
  <c r="AD30" i="44"/>
  <c r="L30" i="44"/>
  <c r="W29" i="44"/>
  <c r="AB29" i="44" s="1"/>
  <c r="L29" i="44"/>
  <c r="I29" i="44"/>
  <c r="G29" i="44"/>
  <c r="W28" i="44"/>
  <c r="AB28" i="44" s="1"/>
  <c r="L28" i="44"/>
  <c r="I28" i="44"/>
  <c r="G28" i="44"/>
  <c r="AD27" i="44"/>
  <c r="AG26" i="44"/>
  <c r="AD26" i="44"/>
  <c r="AG25" i="44"/>
  <c r="L25" i="44"/>
  <c r="I25" i="44"/>
  <c r="G25" i="44"/>
  <c r="W20" i="44"/>
  <c r="W25" i="44" s="1"/>
  <c r="L20" i="44"/>
  <c r="I20" i="44"/>
  <c r="G20" i="44"/>
  <c r="AD17" i="44"/>
  <c r="L17" i="44"/>
  <c r="W16" i="44"/>
  <c r="AB16" i="44" s="1"/>
  <c r="L16" i="44"/>
  <c r="I16" i="44"/>
  <c r="G16" i="44"/>
  <c r="AD14" i="44"/>
  <c r="AB13" i="44"/>
  <c r="Z13" i="44"/>
  <c r="I13" i="44"/>
  <c r="G13" i="44"/>
  <c r="AB12" i="44"/>
  <c r="Z12" i="44"/>
  <c r="I12" i="44"/>
  <c r="G12" i="44"/>
  <c r="AB11" i="44"/>
  <c r="AC11" i="44" s="1"/>
  <c r="I11" i="44"/>
  <c r="J11" i="44" s="1"/>
  <c r="AB9" i="44"/>
  <c r="Z9" i="44"/>
  <c r="I9" i="44"/>
  <c r="G9" i="44"/>
  <c r="I27" i="53"/>
  <c r="G27" i="53"/>
  <c r="I28" i="53"/>
  <c r="G28" i="53"/>
  <c r="I36" i="44" l="1"/>
  <c r="J31" i="44"/>
  <c r="J35" i="44"/>
  <c r="J28" i="53"/>
  <c r="J27" i="53"/>
  <c r="J34" i="44"/>
  <c r="J25" i="44"/>
  <c r="J16" i="44"/>
  <c r="AC9" i="44"/>
  <c r="AB31" i="44"/>
  <c r="AC31" i="44" s="1"/>
  <c r="AC34" i="44"/>
  <c r="AC35" i="44"/>
  <c r="J13" i="44"/>
  <c r="Z16" i="44"/>
  <c r="AC16" i="44" s="1"/>
  <c r="J20" i="44"/>
  <c r="AC13" i="44"/>
  <c r="AC12" i="44"/>
  <c r="J28" i="44"/>
  <c r="W32" i="44"/>
  <c r="Z32" i="44" s="1"/>
  <c r="J29" i="44"/>
  <c r="J12" i="44"/>
  <c r="AD12" i="44" s="1"/>
  <c r="Z28" i="44"/>
  <c r="AC28" i="44" s="1"/>
  <c r="L35" i="44"/>
  <c r="AD11" i="44"/>
  <c r="AB25" i="44"/>
  <c r="Z25" i="44"/>
  <c r="J9" i="44"/>
  <c r="Z20" i="44"/>
  <c r="Z29" i="44"/>
  <c r="AC29" i="44" s="1"/>
  <c r="G32" i="44"/>
  <c r="G36" i="44" s="1"/>
  <c r="AB20" i="44"/>
  <c r="AC20" i="44" l="1"/>
  <c r="AD20" i="44" s="1"/>
  <c r="AD35" i="44"/>
  <c r="AD31" i="44"/>
  <c r="AD34" i="44"/>
  <c r="AD13" i="44"/>
  <c r="AD16" i="44"/>
  <c r="AB32" i="44"/>
  <c r="AB36" i="44" s="1"/>
  <c r="AD28" i="44"/>
  <c r="AD29" i="44"/>
  <c r="Z36" i="44"/>
  <c r="AD9" i="44"/>
  <c r="J32" i="44"/>
  <c r="J36" i="44" s="1"/>
  <c r="AC25" i="44"/>
  <c r="AC32" i="44" l="1"/>
  <c r="AD32" i="44" s="1"/>
  <c r="AD25" i="44"/>
  <c r="AC36" i="44" l="1"/>
  <c r="AD36" i="44" s="1"/>
  <c r="I29" i="53" l="1"/>
  <c r="G29" i="53"/>
  <c r="S31" i="53"/>
  <c r="Q31" i="53"/>
  <c r="S30" i="53"/>
  <c r="Q30" i="53"/>
  <c r="J29" i="53" l="1"/>
  <c r="Q24" i="53"/>
  <c r="Q23" i="53"/>
  <c r="Q22" i="53"/>
  <c r="Q21" i="53"/>
  <c r="Q19" i="53"/>
  <c r="Q18" i="53"/>
  <c r="Q17" i="53"/>
  <c r="Q16" i="53"/>
  <c r="Q15" i="53"/>
  <c r="Q14" i="53"/>
  <c r="I19" i="53"/>
  <c r="G19" i="53"/>
  <c r="I18" i="53"/>
  <c r="G18" i="53"/>
  <c r="I17" i="53"/>
  <c r="G17" i="53"/>
  <c r="I46" i="52"/>
  <c r="G46" i="52"/>
  <c r="I45" i="52"/>
  <c r="G45" i="52"/>
  <c r="I41" i="52"/>
  <c r="G41" i="52"/>
  <c r="G34" i="52"/>
  <c r="I34" i="52"/>
  <c r="I26" i="52"/>
  <c r="Q24" i="52"/>
  <c r="Q23" i="52"/>
  <c r="Q22" i="52"/>
  <c r="Q21" i="52"/>
  <c r="Q20" i="52"/>
  <c r="Q19" i="52"/>
  <c r="Q18" i="52"/>
  <c r="Q17" i="52"/>
  <c r="Q16" i="52"/>
  <c r="Q15" i="52"/>
  <c r="Q14" i="52"/>
  <c r="Q13" i="52"/>
  <c r="Q12" i="52"/>
  <c r="Q11" i="52"/>
  <c r="Q10" i="52"/>
  <c r="I15" i="52"/>
  <c r="G15" i="52"/>
  <c r="I14" i="52"/>
  <c r="G14" i="52"/>
  <c r="I13" i="52"/>
  <c r="G13" i="52"/>
  <c r="I12" i="52"/>
  <c r="G12" i="52"/>
  <c r="I89" i="51"/>
  <c r="I21" i="51"/>
  <c r="G21" i="51"/>
  <c r="I20" i="51"/>
  <c r="G20" i="51"/>
  <c r="J41" i="52" l="1"/>
  <c r="J21" i="51"/>
  <c r="J20" i="51"/>
  <c r="J89" i="51"/>
  <c r="J18" i="53"/>
  <c r="J19" i="53"/>
  <c r="J17" i="53"/>
  <c r="J46" i="52"/>
  <c r="J45" i="52"/>
  <c r="J26" i="52"/>
  <c r="J15" i="52"/>
  <c r="J14" i="52"/>
  <c r="J12" i="52"/>
  <c r="J13" i="52"/>
  <c r="I16" i="52" l="1"/>
  <c r="J16" i="52" s="1"/>
  <c r="I85" i="51" l="1"/>
  <c r="G85" i="51"/>
  <c r="I74" i="51"/>
  <c r="G74" i="51"/>
  <c r="I56" i="51"/>
  <c r="G56" i="51"/>
  <c r="I55" i="51"/>
  <c r="G55" i="51"/>
  <c r="I54" i="51"/>
  <c r="G54" i="51"/>
  <c r="J85" i="51" l="1"/>
  <c r="J74" i="51"/>
  <c r="J56" i="51"/>
  <c r="J55" i="51"/>
  <c r="J54" i="51"/>
  <c r="I59" i="51" l="1"/>
  <c r="G59" i="51"/>
  <c r="I64" i="51"/>
  <c r="G64" i="51"/>
  <c r="J59" i="51" l="1"/>
  <c r="J64" i="51"/>
  <c r="I38" i="51" l="1"/>
  <c r="I36" i="51"/>
  <c r="G36" i="51"/>
  <c r="I35" i="51"/>
  <c r="G35" i="51"/>
  <c r="I34" i="51"/>
  <c r="G34" i="51"/>
  <c r="J36" i="51" l="1"/>
  <c r="J35" i="51"/>
  <c r="J34" i="51"/>
  <c r="J38" i="51"/>
  <c r="I22" i="51" l="1"/>
  <c r="G22" i="51"/>
  <c r="G9" i="51"/>
  <c r="I9" i="51"/>
  <c r="C13" i="51"/>
  <c r="G13" i="51"/>
  <c r="I13" i="51"/>
  <c r="I92" i="51"/>
  <c r="G92" i="51"/>
  <c r="I84" i="51"/>
  <c r="G84" i="51"/>
  <c r="I83" i="51"/>
  <c r="G83" i="51"/>
  <c r="I82" i="51"/>
  <c r="G82" i="51"/>
  <c r="I73" i="51"/>
  <c r="G73" i="51"/>
  <c r="I67" i="51"/>
  <c r="G67" i="51"/>
  <c r="G80" i="51" s="1"/>
  <c r="I63" i="51"/>
  <c r="G63" i="51"/>
  <c r="I62" i="51"/>
  <c r="G62" i="51"/>
  <c r="I61" i="51"/>
  <c r="G61" i="51"/>
  <c r="I60" i="51"/>
  <c r="G60" i="51"/>
  <c r="I58" i="51"/>
  <c r="G58" i="51"/>
  <c r="I57" i="51"/>
  <c r="G57" i="51"/>
  <c r="I53" i="51"/>
  <c r="G53" i="51"/>
  <c r="I52" i="51"/>
  <c r="G52" i="51"/>
  <c r="I51" i="51"/>
  <c r="G51" i="51"/>
  <c r="I42" i="51"/>
  <c r="I50" i="51" s="1"/>
  <c r="G42" i="51"/>
  <c r="G50" i="51" s="1"/>
  <c r="I33" i="51"/>
  <c r="I41" i="51" s="1"/>
  <c r="G33" i="51"/>
  <c r="G41" i="51" s="1"/>
  <c r="I28" i="51"/>
  <c r="G28" i="51"/>
  <c r="I27" i="51"/>
  <c r="G27" i="51"/>
  <c r="I26" i="51"/>
  <c r="J26" i="51" s="1"/>
  <c r="I24" i="51"/>
  <c r="J24" i="51" s="1"/>
  <c r="I8" i="51"/>
  <c r="G8" i="51"/>
  <c r="I25" i="51" l="1"/>
  <c r="I80" i="51"/>
  <c r="G94" i="51"/>
  <c r="I94" i="51"/>
  <c r="J73" i="51"/>
  <c r="J82" i="51"/>
  <c r="G65" i="51"/>
  <c r="J92" i="51"/>
  <c r="J8" i="51"/>
  <c r="J22" i="51"/>
  <c r="J42" i="51"/>
  <c r="J50" i="51" s="1"/>
  <c r="G32" i="51"/>
  <c r="J9" i="51"/>
  <c r="J61" i="51"/>
  <c r="J27" i="51"/>
  <c r="J28" i="51"/>
  <c r="J67" i="51"/>
  <c r="J33" i="51"/>
  <c r="J41" i="51" s="1"/>
  <c r="J58" i="51"/>
  <c r="J60" i="51"/>
  <c r="G87" i="51"/>
  <c r="J13" i="51"/>
  <c r="I65" i="51"/>
  <c r="J52" i="51"/>
  <c r="J53" i="51"/>
  <c r="J62" i="51"/>
  <c r="J63" i="51"/>
  <c r="J84" i="51"/>
  <c r="J57" i="51"/>
  <c r="G25" i="51"/>
  <c r="I32" i="51"/>
  <c r="J51" i="51"/>
  <c r="J83" i="51"/>
  <c r="I87" i="51"/>
  <c r="I199" i="51"/>
  <c r="G199" i="51"/>
  <c r="I198" i="51"/>
  <c r="G198" i="51"/>
  <c r="I200" i="51"/>
  <c r="G200" i="51"/>
  <c r="J80" i="51" l="1"/>
  <c r="J25" i="51"/>
  <c r="J32" i="51"/>
  <c r="J94" i="51"/>
  <c r="G96" i="51"/>
  <c r="J87" i="51"/>
  <c r="J65" i="51"/>
  <c r="I96" i="51"/>
  <c r="J198" i="51"/>
  <c r="J199" i="51"/>
  <c r="J200" i="51"/>
  <c r="I35" i="53"/>
  <c r="G35" i="53"/>
  <c r="I177" i="51"/>
  <c r="G177" i="51"/>
  <c r="I169" i="51"/>
  <c r="G169" i="51"/>
  <c r="I168" i="51"/>
  <c r="G168" i="51"/>
  <c r="I167" i="51"/>
  <c r="G167" i="51"/>
  <c r="I166" i="51"/>
  <c r="G166" i="51"/>
  <c r="I165" i="51"/>
  <c r="G165" i="51"/>
  <c r="I164" i="51"/>
  <c r="G164" i="51"/>
  <c r="I163" i="51"/>
  <c r="G163" i="51"/>
  <c r="I162" i="51"/>
  <c r="G162" i="51"/>
  <c r="J35" i="53" l="1"/>
  <c r="J96" i="51"/>
  <c r="J177" i="51"/>
  <c r="J169" i="51"/>
  <c r="J168" i="51"/>
  <c r="J167" i="51"/>
  <c r="J166" i="51"/>
  <c r="J165" i="51"/>
  <c r="J164" i="51"/>
  <c r="J163" i="51"/>
  <c r="J162" i="51"/>
  <c r="I192" i="51"/>
  <c r="G192" i="51"/>
  <c r="I112" i="51"/>
  <c r="G112" i="51"/>
  <c r="D111" i="51"/>
  <c r="I124" i="51"/>
  <c r="G124" i="51"/>
  <c r="J9" i="50" l="1"/>
  <c r="M9" i="50" s="1"/>
  <c r="L96" i="51"/>
  <c r="J192" i="51"/>
  <c r="J112" i="51"/>
  <c r="J124" i="51"/>
  <c r="I100" i="51" l="1"/>
  <c r="G100" i="51"/>
  <c r="I101" i="51"/>
  <c r="G101" i="51"/>
  <c r="J100" i="51" l="1"/>
  <c r="J101" i="51"/>
  <c r="I108" i="51" l="1"/>
  <c r="G108" i="51"/>
  <c r="J108" i="51" l="1"/>
  <c r="I52" i="53"/>
  <c r="G52" i="53"/>
  <c r="I51" i="53"/>
  <c r="G51" i="53"/>
  <c r="I50" i="53"/>
  <c r="G50" i="53"/>
  <c r="I49" i="53"/>
  <c r="G49" i="53"/>
  <c r="I48" i="53"/>
  <c r="G48" i="53"/>
  <c r="I46" i="53"/>
  <c r="G46" i="53"/>
  <c r="I45" i="53"/>
  <c r="G45" i="53"/>
  <c r="I43" i="53"/>
  <c r="G43" i="53"/>
  <c r="I42" i="53"/>
  <c r="G42" i="53"/>
  <c r="I41" i="53"/>
  <c r="G41" i="53"/>
  <c r="I37" i="53"/>
  <c r="G37" i="53"/>
  <c r="I36" i="53"/>
  <c r="G36" i="53"/>
  <c r="I34" i="53"/>
  <c r="G34" i="53"/>
  <c r="I30" i="53"/>
  <c r="G30" i="53"/>
  <c r="I26" i="53"/>
  <c r="G26" i="53"/>
  <c r="I25" i="53"/>
  <c r="G25" i="53"/>
  <c r="I24" i="53"/>
  <c r="G24" i="53"/>
  <c r="I16" i="53"/>
  <c r="G16" i="53"/>
  <c r="I15" i="53"/>
  <c r="G15" i="53"/>
  <c r="I14" i="53"/>
  <c r="G14" i="53"/>
  <c r="I10" i="53"/>
  <c r="G10" i="53"/>
  <c r="I9" i="53"/>
  <c r="G9" i="53"/>
  <c r="I32" i="53" l="1"/>
  <c r="G32" i="53"/>
  <c r="G22" i="53"/>
  <c r="J52" i="53"/>
  <c r="G54" i="53"/>
  <c r="J42" i="53"/>
  <c r="G39" i="53"/>
  <c r="J37" i="53"/>
  <c r="J45" i="53"/>
  <c r="G12" i="53"/>
  <c r="J46" i="53"/>
  <c r="J51" i="53"/>
  <c r="I12" i="53"/>
  <c r="I22" i="53"/>
  <c r="J10" i="53"/>
  <c r="J9" i="53"/>
  <c r="J16" i="53"/>
  <c r="J30" i="53"/>
  <c r="J36" i="53"/>
  <c r="J24" i="53"/>
  <c r="J41" i="53"/>
  <c r="J43" i="53"/>
  <c r="J48" i="53"/>
  <c r="J50" i="53"/>
  <c r="J14" i="53"/>
  <c r="J34" i="53"/>
  <c r="I54" i="53"/>
  <c r="J15" i="53"/>
  <c r="J26" i="53"/>
  <c r="I39" i="53"/>
  <c r="J49" i="53"/>
  <c r="J25" i="53"/>
  <c r="G66" i="53" l="1"/>
  <c r="I66" i="53"/>
  <c r="J32" i="53"/>
  <c r="J22" i="53"/>
  <c r="J12" i="53"/>
  <c r="J39" i="53"/>
  <c r="J54" i="53"/>
  <c r="I50" i="52"/>
  <c r="G50" i="52"/>
  <c r="J66" i="53" l="1"/>
  <c r="J11" i="50" s="1"/>
  <c r="M11" i="50" s="1"/>
  <c r="J50" i="52"/>
  <c r="I176" i="51" l="1"/>
  <c r="G176" i="51"/>
  <c r="I175" i="51"/>
  <c r="G175" i="51"/>
  <c r="I174" i="51"/>
  <c r="G174" i="51"/>
  <c r="I173" i="51"/>
  <c r="G173" i="51"/>
  <c r="I161" i="51"/>
  <c r="G161" i="51"/>
  <c r="I160" i="51"/>
  <c r="G160" i="51"/>
  <c r="I159" i="51"/>
  <c r="G159" i="51"/>
  <c r="I150" i="51"/>
  <c r="G150" i="51"/>
  <c r="I133" i="51"/>
  <c r="I134" i="51"/>
  <c r="I135" i="51"/>
  <c r="G135" i="51"/>
  <c r="G134" i="51"/>
  <c r="J159" i="51" l="1"/>
  <c r="J161" i="51"/>
  <c r="J135" i="51"/>
  <c r="J176" i="51"/>
  <c r="J175" i="51"/>
  <c r="J174" i="51"/>
  <c r="J160" i="51"/>
  <c r="J173" i="51"/>
  <c r="J150" i="51"/>
  <c r="J134" i="51"/>
  <c r="I197" i="51" l="1"/>
  <c r="G197" i="51"/>
  <c r="I196" i="51"/>
  <c r="G196" i="51"/>
  <c r="I195" i="51"/>
  <c r="G195" i="51"/>
  <c r="I194" i="51"/>
  <c r="G194" i="51"/>
  <c r="I193" i="51"/>
  <c r="G193" i="51"/>
  <c r="J194" i="51" l="1"/>
  <c r="J195" i="51"/>
  <c r="J196" i="51"/>
  <c r="J193" i="51"/>
  <c r="J197" i="51"/>
  <c r="I110" i="51" l="1"/>
  <c r="G110" i="51"/>
  <c r="I99" i="51"/>
  <c r="G99" i="51"/>
  <c r="I115" i="51"/>
  <c r="G115" i="51"/>
  <c r="I114" i="51"/>
  <c r="G114" i="51"/>
  <c r="J115" i="51" l="1"/>
  <c r="J110" i="51"/>
  <c r="J114" i="51"/>
  <c r="J99" i="51"/>
  <c r="I25" i="52"/>
  <c r="I206" i="51"/>
  <c r="G206" i="51"/>
  <c r="I205" i="51"/>
  <c r="G205" i="51"/>
  <c r="I157" i="51"/>
  <c r="G157" i="51"/>
  <c r="I158" i="51"/>
  <c r="G158" i="51"/>
  <c r="G208" i="51" l="1"/>
  <c r="J25" i="52"/>
  <c r="J206" i="51"/>
  <c r="I208" i="51"/>
  <c r="J205" i="51"/>
  <c r="J158" i="51"/>
  <c r="J157" i="51"/>
  <c r="J208" i="51" l="1"/>
  <c r="I102" i="51" l="1"/>
  <c r="G102" i="51"/>
  <c r="I120" i="51"/>
  <c r="G120" i="51"/>
  <c r="I119" i="51"/>
  <c r="G119" i="51"/>
  <c r="G133" i="51"/>
  <c r="I132" i="51"/>
  <c r="G132" i="51"/>
  <c r="I131" i="51"/>
  <c r="G131" i="51"/>
  <c r="J119" i="51" l="1"/>
  <c r="J120" i="51"/>
  <c r="J102" i="51"/>
  <c r="J131" i="51"/>
  <c r="J133" i="51"/>
  <c r="J132" i="51"/>
  <c r="I44" i="44" l="1"/>
  <c r="G44" i="44"/>
  <c r="J44" i="44" l="1"/>
  <c r="I142" i="51" l="1"/>
  <c r="G142" i="51"/>
  <c r="J142" i="51" l="1"/>
  <c r="I191" i="51" l="1"/>
  <c r="G191" i="51"/>
  <c r="I190" i="51"/>
  <c r="G190" i="51"/>
  <c r="J191" i="51" l="1"/>
  <c r="J190" i="51"/>
  <c r="I189" i="51" l="1"/>
  <c r="G189" i="51"/>
  <c r="I171" i="51"/>
  <c r="G171" i="51"/>
  <c r="J189" i="51" l="1"/>
  <c r="J171" i="51"/>
  <c r="G111" i="51" l="1"/>
  <c r="I111" i="51"/>
  <c r="J111" i="51" l="1"/>
  <c r="G51" i="52" l="1"/>
  <c r="G49" i="52"/>
  <c r="G47" i="52"/>
  <c r="G44" i="52"/>
  <c r="G42" i="52"/>
  <c r="I49" i="44" l="1"/>
  <c r="I51" i="44" s="1"/>
  <c r="G49" i="44"/>
  <c r="G51" i="44" s="1"/>
  <c r="J49" i="44" l="1"/>
  <c r="J51" i="44" s="1"/>
  <c r="I44" i="52" l="1"/>
  <c r="I184" i="51" l="1"/>
  <c r="G184" i="51"/>
  <c r="I149" i="51"/>
  <c r="G149" i="51"/>
  <c r="J184" i="51" l="1"/>
  <c r="J149" i="51"/>
  <c r="I113" i="51" l="1"/>
  <c r="G113" i="51"/>
  <c r="I103" i="51"/>
  <c r="G103" i="51"/>
  <c r="J113" i="51" l="1"/>
  <c r="J103" i="51"/>
  <c r="G147" i="51" l="1"/>
  <c r="I147" i="51"/>
  <c r="J147" i="51" l="1"/>
  <c r="I182" i="51" l="1"/>
  <c r="G182" i="51"/>
  <c r="I183" i="51"/>
  <c r="G183" i="51"/>
  <c r="J183" i="51" l="1"/>
  <c r="J182" i="51"/>
  <c r="I126" i="51" l="1"/>
  <c r="G126" i="51"/>
  <c r="J126" i="51" l="1"/>
  <c r="I46" i="44" l="1"/>
  <c r="G46" i="44"/>
  <c r="I98" i="51"/>
  <c r="I51" i="52"/>
  <c r="I49" i="52"/>
  <c r="I47" i="52"/>
  <c r="I42" i="52"/>
  <c r="I32" i="52"/>
  <c r="I23" i="52"/>
  <c r="I22" i="52"/>
  <c r="I21" i="52"/>
  <c r="I11" i="52"/>
  <c r="I10" i="52"/>
  <c r="G32" i="52"/>
  <c r="G23" i="52"/>
  <c r="G22" i="52"/>
  <c r="G21" i="52"/>
  <c r="G11" i="52"/>
  <c r="G10" i="52"/>
  <c r="I188" i="51"/>
  <c r="I202" i="51" s="1"/>
  <c r="I181" i="51"/>
  <c r="I186" i="51" s="1"/>
  <c r="I172" i="51"/>
  <c r="I170" i="51"/>
  <c r="I156" i="51"/>
  <c r="I155" i="51"/>
  <c r="I154" i="51"/>
  <c r="I148" i="51"/>
  <c r="I146" i="51"/>
  <c r="I145" i="51"/>
  <c r="I144" i="51"/>
  <c r="I143" i="51"/>
  <c r="I141" i="51"/>
  <c r="I140" i="51"/>
  <c r="I123" i="51"/>
  <c r="I122" i="51"/>
  <c r="I109" i="51"/>
  <c r="I107" i="51"/>
  <c r="G188" i="51"/>
  <c r="G202" i="51" s="1"/>
  <c r="G181" i="51"/>
  <c r="G186" i="51" s="1"/>
  <c r="G172" i="51"/>
  <c r="G170" i="51"/>
  <c r="G156" i="51"/>
  <c r="G155" i="51"/>
  <c r="G154" i="51"/>
  <c r="G148" i="51"/>
  <c r="G146" i="51"/>
  <c r="G145" i="51"/>
  <c r="G144" i="51"/>
  <c r="G143" i="51"/>
  <c r="G141" i="51"/>
  <c r="G140" i="51"/>
  <c r="G130" i="51"/>
  <c r="F136" i="51" s="1"/>
  <c r="G136" i="51" s="1"/>
  <c r="G123" i="51"/>
  <c r="G122" i="51"/>
  <c r="G109" i="51"/>
  <c r="G107" i="51"/>
  <c r="G98" i="51"/>
  <c r="C11" i="50"/>
  <c r="G29" i="52" l="1"/>
  <c r="G179" i="51"/>
  <c r="I179" i="51"/>
  <c r="G138" i="51"/>
  <c r="J109" i="51"/>
  <c r="G117" i="51"/>
  <c r="I152" i="51"/>
  <c r="G152" i="51"/>
  <c r="J107" i="51"/>
  <c r="I117" i="51"/>
  <c r="J156" i="51"/>
  <c r="J32" i="52"/>
  <c r="J46" i="44"/>
  <c r="J122" i="51"/>
  <c r="J155" i="51"/>
  <c r="J172" i="51"/>
  <c r="J170" i="51"/>
  <c r="J10" i="52"/>
  <c r="J21" i="52"/>
  <c r="J23" i="52"/>
  <c r="J44" i="52"/>
  <c r="J51" i="52"/>
  <c r="J11" i="52"/>
  <c r="J34" i="52"/>
  <c r="J42" i="52"/>
  <c r="J49" i="52"/>
  <c r="J47" i="52"/>
  <c r="J22" i="52"/>
  <c r="J188" i="51"/>
  <c r="J123" i="51"/>
  <c r="J98" i="51"/>
  <c r="J148" i="51"/>
  <c r="J181" i="51"/>
  <c r="J186" i="51" s="1"/>
  <c r="J154" i="51"/>
  <c r="J144" i="51"/>
  <c r="J143" i="51"/>
  <c r="J141" i="51"/>
  <c r="J146" i="51"/>
  <c r="J140" i="51"/>
  <c r="J145" i="51"/>
  <c r="J179" i="51" l="1"/>
  <c r="J152" i="51"/>
  <c r="I36" i="52"/>
  <c r="G36" i="52"/>
  <c r="I35" i="52"/>
  <c r="G35" i="52"/>
  <c r="I24" i="52"/>
  <c r="I29" i="52" s="1"/>
  <c r="J35" i="52" l="1"/>
  <c r="J36" i="52"/>
  <c r="J24" i="52"/>
  <c r="J29" i="52" s="1"/>
  <c r="J9" i="52" l="1"/>
  <c r="G48" i="52"/>
  <c r="I48" i="52"/>
  <c r="I43" i="52"/>
  <c r="G43" i="52"/>
  <c r="C39" i="52"/>
  <c r="C36" i="52"/>
  <c r="I31" i="52"/>
  <c r="I38" i="52" s="1"/>
  <c r="G31" i="52"/>
  <c r="G38" i="52" s="1"/>
  <c r="I20" i="52"/>
  <c r="G20" i="52"/>
  <c r="I19" i="52"/>
  <c r="G19" i="52"/>
  <c r="J136" i="51"/>
  <c r="I130" i="51"/>
  <c r="I138" i="51" s="1"/>
  <c r="G121" i="51"/>
  <c r="G118" i="51"/>
  <c r="C212" i="51"/>
  <c r="I139" i="51"/>
  <c r="G139" i="51"/>
  <c r="I129" i="51"/>
  <c r="G129" i="51"/>
  <c r="I125" i="51"/>
  <c r="G125" i="51"/>
  <c r="I121" i="51"/>
  <c r="I118" i="51"/>
  <c r="I106" i="51"/>
  <c r="I104" i="51"/>
  <c r="J104" i="51" s="1"/>
  <c r="I97" i="51"/>
  <c r="G97" i="51"/>
  <c r="G105" i="51" s="1"/>
  <c r="G47" i="44"/>
  <c r="G48" i="44" s="1"/>
  <c r="G52" i="44" s="1"/>
  <c r="I47" i="44"/>
  <c r="I48" i="44" s="1"/>
  <c r="I52" i="44" s="1"/>
  <c r="I38" i="44"/>
  <c r="G38" i="44"/>
  <c r="I105" i="51" l="1"/>
  <c r="I53" i="52"/>
  <c r="G53" i="52"/>
  <c r="I128" i="51"/>
  <c r="G18" i="52"/>
  <c r="G128" i="51"/>
  <c r="J130" i="51"/>
  <c r="J138" i="51" s="1"/>
  <c r="J121" i="51"/>
  <c r="J202" i="51"/>
  <c r="J106" i="51"/>
  <c r="J117" i="51" s="1"/>
  <c r="J125" i="51"/>
  <c r="J129" i="51"/>
  <c r="J47" i="44"/>
  <c r="J48" i="44" s="1"/>
  <c r="J52" i="44" s="1"/>
  <c r="L51" i="44" s="1"/>
  <c r="J48" i="52"/>
  <c r="J43" i="52"/>
  <c r="J31" i="52"/>
  <c r="J38" i="52" s="1"/>
  <c r="J20" i="52"/>
  <c r="J19" i="52"/>
  <c r="J97" i="51"/>
  <c r="J105" i="51" s="1"/>
  <c r="J139" i="51"/>
  <c r="J118" i="51"/>
  <c r="J38" i="44"/>
  <c r="G55" i="52" l="1"/>
  <c r="J53" i="52"/>
  <c r="J128" i="51"/>
  <c r="J210" i="51" s="1"/>
  <c r="I18" i="52"/>
  <c r="I55" i="52" s="1"/>
  <c r="J8" i="50" l="1"/>
  <c r="M8" i="50" s="1"/>
  <c r="J18" i="52" l="1"/>
  <c r="J55" i="52" s="1"/>
  <c r="O19" i="50" s="1"/>
  <c r="P19" i="50" s="1"/>
  <c r="J10" i="50" l="1"/>
  <c r="M10" i="50" s="1"/>
  <c r="J27" i="50" l="1"/>
  <c r="L11" i="50" s="1"/>
  <c r="L8" i="50" l="1"/>
  <c r="K12" i="48"/>
  <c r="R12" i="48" s="1"/>
  <c r="L10" i="50"/>
  <c r="L9" i="50"/>
  <c r="R21" i="48" l="1"/>
  <c r="R22" i="48" s="1"/>
  <c r="L14" i="50"/>
  <c r="G24" i="48" l="1"/>
  <c r="I22" i="48" l="1"/>
</calcChain>
</file>

<file path=xl/sharedStrings.xml><?xml version="1.0" encoding="utf-8"?>
<sst xmlns="http://schemas.openxmlformats.org/spreadsheetml/2006/main" count="1214" uniqueCount="509">
  <si>
    <t>งานพื้น</t>
  </si>
  <si>
    <t>งานผนัง</t>
  </si>
  <si>
    <t>งานหลังคา</t>
  </si>
  <si>
    <t>งานสุขภัณฑ์</t>
  </si>
  <si>
    <t>รวมราคางานฝ้าเพดาน</t>
  </si>
  <si>
    <t>รวมราคางานหลังคา</t>
  </si>
  <si>
    <t>รวมราคางานสุขภัณฑ์</t>
  </si>
  <si>
    <t>ลำดับที่</t>
  </si>
  <si>
    <t>ราคาวัสดุ</t>
  </si>
  <si>
    <t>ค่าแรงงาน</t>
  </si>
  <si>
    <t>รวมค่าวัสดุ
และค่าแรงงาน</t>
  </si>
  <si>
    <t>ราคาหน่วยละ</t>
  </si>
  <si>
    <t>จำนวนเงิน</t>
  </si>
  <si>
    <t>หน่วย</t>
  </si>
  <si>
    <t>จำนวน</t>
  </si>
  <si>
    <t>หมายเหตุ</t>
  </si>
  <si>
    <t>ตร.ม.</t>
  </si>
  <si>
    <t>ชุด</t>
  </si>
  <si>
    <t>รายการ</t>
  </si>
  <si>
    <t>ม.</t>
  </si>
  <si>
    <t>รวมราคางานพื้น</t>
  </si>
  <si>
    <t>ประมาณราคาเมื่อวันที่</t>
  </si>
  <si>
    <t>แบบ ปร.4</t>
  </si>
  <si>
    <t xml:space="preserve">แบบเลขที่    </t>
  </si>
  <si>
    <t xml:space="preserve">รายการเลขที่  </t>
  </si>
  <si>
    <t>สรุปราคาค่าวัสดุและแรงงาน</t>
  </si>
  <si>
    <t>หมวดงานโครงสร้าง</t>
  </si>
  <si>
    <t>หมวดงานสถาปัตยกรรม</t>
  </si>
  <si>
    <t>หมวดงานระบบไฟฟ้าและสื่อสาร</t>
  </si>
  <si>
    <t>รวมราคางานผนัง</t>
  </si>
  <si>
    <t>งานเบ็ดเตล็ด</t>
  </si>
  <si>
    <t>รวมราคางานเบ็ดเตล็ด</t>
  </si>
  <si>
    <t>เหมารวม</t>
  </si>
  <si>
    <t xml:space="preserve"> </t>
  </si>
  <si>
    <t>รวมค่าวัสดุและแรงงาน</t>
  </si>
  <si>
    <t>GATE VALVE</t>
  </si>
  <si>
    <t>ลบ.ม.</t>
  </si>
  <si>
    <t>กก.</t>
  </si>
  <si>
    <t>สรุปผลการประมาณราคาค่าก่อสร้าง</t>
  </si>
  <si>
    <t xml:space="preserve">□ </t>
  </si>
  <si>
    <t xml:space="preserve">ประเภท    </t>
  </si>
  <si>
    <t xml:space="preserve">เจ้าของอาคาร   </t>
  </si>
  <si>
    <t xml:space="preserve">สถานที่ก่อสร้าง </t>
  </si>
  <si>
    <t xml:space="preserve">หน่วยงานออกแบบแปลนและรายการ </t>
  </si>
  <si>
    <t>แบบเลขที่</t>
  </si>
  <si>
    <t>รายการเลขที่</t>
  </si>
  <si>
    <t>ประมาณราคาตามแบบ</t>
  </si>
  <si>
    <t>ปร.4</t>
  </si>
  <si>
    <t>แผ่น</t>
  </si>
  <si>
    <t>ค่าวัสดุและค่าแรงงาน
จำนวนเงิน / บาท</t>
  </si>
  <si>
    <t>รวมค่าก่อสร้าง
เป็นเงิน/บาท</t>
  </si>
  <si>
    <t>สรุป</t>
  </si>
  <si>
    <t>รวมค่าก่อสร้างเป็นเงินทั้งสิ้น</t>
  </si>
  <si>
    <t>(</t>
  </si>
  <si>
    <t>)</t>
  </si>
  <si>
    <t>**</t>
  </si>
  <si>
    <t>ขนาดหรือเนื้อที่อาคาร</t>
  </si>
  <si>
    <t>เฉลี่ยราคาประมาณ</t>
  </si>
  <si>
    <t>บาท / ตารางเมตร</t>
  </si>
  <si>
    <t>M</t>
  </si>
  <si>
    <t xml:space="preserve"> งานปรับบริเวณและปักผัง</t>
  </si>
  <si>
    <t xml:space="preserve">     -  RB  6  mm. </t>
  </si>
  <si>
    <t xml:space="preserve">     -  RB  9  mm. </t>
  </si>
  <si>
    <t xml:space="preserve">     -  DB 12  mm. </t>
  </si>
  <si>
    <t>รวมราคางานโครงสร้าง</t>
  </si>
  <si>
    <t>รวมราคางานโครงสร้าง ค.ส.ล.</t>
  </si>
  <si>
    <t xml:space="preserve"> งานโครงเหล็กรูปพรรณ</t>
  </si>
  <si>
    <t>SET</t>
  </si>
  <si>
    <t>งานโครงหลังคา</t>
  </si>
  <si>
    <t>รวมราคางานโครงหลังคา</t>
  </si>
  <si>
    <t>งานผ้าเพดาน</t>
  </si>
  <si>
    <t>STOP VALVE</t>
  </si>
  <si>
    <t>สายชำระ</t>
  </si>
  <si>
    <t>ที่ใส่กระดาษชำระ</t>
  </si>
  <si>
    <t>ก๊อกเดี่ยวติดผนัง</t>
  </si>
  <si>
    <t>งานประตูและหน้าต่าง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</si>
  <si>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</si>
  <si>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</si>
  <si>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</si>
  <si>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</si>
  <si>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</si>
  <si>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</si>
  <si>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</si>
  <si>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</si>
  <si>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</si>
  <si>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</si>
  <si>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W1</t>
  </si>
  <si>
    <t>W2</t>
  </si>
  <si>
    <t>W3</t>
  </si>
  <si>
    <t>W4</t>
  </si>
  <si>
    <t>W5</t>
  </si>
  <si>
    <t>W6</t>
  </si>
  <si>
    <t>W7</t>
  </si>
  <si>
    <t>W8</t>
  </si>
  <si>
    <t>รวมราคางานประตูและหน้าต่าง</t>
  </si>
  <si>
    <t>งานสี</t>
  </si>
  <si>
    <t>รวมราคางานสี</t>
  </si>
  <si>
    <t>รวมราคาหมวดงานสถาปัตยกรรม</t>
  </si>
  <si>
    <t xml:space="preserve">  อุปกรณ์ข้อต่อ</t>
  </si>
  <si>
    <t xml:space="preserve">  DIA.        2"</t>
  </si>
  <si>
    <t xml:space="preserve">  DIA.    1 1/2"</t>
  </si>
  <si>
    <t xml:space="preserve">  DIA.        1"</t>
  </si>
  <si>
    <t>SUPPORT AND HANGER</t>
  </si>
  <si>
    <t>PAINTING AND TESTING</t>
  </si>
  <si>
    <t>ระบบท่อน้ำโสโครก, ท่อน้ำทิ้ง (S,W,KW)</t>
  </si>
  <si>
    <t xml:space="preserve">  DIA.     4"</t>
  </si>
  <si>
    <t xml:space="preserve">  DIA.     3"</t>
  </si>
  <si>
    <t xml:space="preserve">  DIA.     2"</t>
  </si>
  <si>
    <t>ระบบท่ออากาศ (V)</t>
  </si>
  <si>
    <t>ระบบระบายน้ำฝน</t>
  </si>
  <si>
    <t>CLEAN  OUT</t>
  </si>
  <si>
    <t xml:space="preserve">บ่อพักน้ำ (HH.) </t>
  </si>
  <si>
    <t>ขนาด 0.60x0.60 ม.</t>
  </si>
  <si>
    <t>EA</t>
  </si>
  <si>
    <t>LOT</t>
  </si>
  <si>
    <t>ACCESSORIES</t>
  </si>
  <si>
    <t>PANEL BOARD</t>
  </si>
  <si>
    <t>LIGHTING FIXTURE</t>
  </si>
  <si>
    <t>CABLE AND WIRE</t>
  </si>
  <si>
    <t>SWITCH, RECEPTACLE AND OTHER EQUIPMENT</t>
  </si>
  <si>
    <t>หมวดงานระบบสุขาภิบาล</t>
  </si>
  <si>
    <t xml:space="preserve">ตารางเมตร </t>
  </si>
  <si>
    <t xml:space="preserve"> หมวดงานโครงสร้าง </t>
  </si>
  <si>
    <t>งาน</t>
  </si>
  <si>
    <t>สีน้ำอะคริลิคภายนอก</t>
  </si>
  <si>
    <t>สีน้ำอะคริลิคภายใน</t>
  </si>
  <si>
    <t>อ่างล้างหน้าชนิดฝังเคาน์เตอร์ พร้อมก๊อกอ่างและอุปกรณ์</t>
  </si>
  <si>
    <t xml:space="preserve">   โครงเคร่า C-line ชนิดมีฟอยด์กันความร้อน 1 ด้าน ฉาบเรียบ ทาสี</t>
  </si>
  <si>
    <t xml:space="preserve">   โครงเคร่า C-line ตีเว้นระยะห่างแผ่น 1 ซม. ภายในกรุตาข่ายกันแมลง</t>
  </si>
  <si>
    <t>สีน้ำอะคริลิคฝ้าเพดาน ภายนอก</t>
  </si>
  <si>
    <t>สีน้ำอะคริลิคฝ้าเพดาน ภายใน</t>
  </si>
  <si>
    <t xml:space="preserve"> - ระบบป้องกันปลวก</t>
  </si>
  <si>
    <t>เคาเตอร์อ่างล้างหน้า คสล. บุหินแกรนิต</t>
  </si>
  <si>
    <t>กระจกเงากรอบอลูมิเนียม</t>
  </si>
  <si>
    <t>ส่วนต่าง</t>
  </si>
  <si>
    <t>2.1.1</t>
  </si>
  <si>
    <t>2.1.2</t>
  </si>
  <si>
    <t>2.1.3</t>
  </si>
  <si>
    <t>2.2.1</t>
  </si>
  <si>
    <t>2.2.2</t>
  </si>
  <si>
    <t>2.2.4</t>
  </si>
  <si>
    <t>2.3.1</t>
  </si>
  <si>
    <t>2.3.3</t>
  </si>
  <si>
    <t>2.3.4</t>
  </si>
  <si>
    <t>2.4.1</t>
  </si>
  <si>
    <t>2.4.2</t>
  </si>
  <si>
    <t>2.4.3</t>
  </si>
  <si>
    <t>2.4.4</t>
  </si>
  <si>
    <t>2.5.1</t>
  </si>
  <si>
    <t>2.5.2</t>
  </si>
  <si>
    <t>2.5.3</t>
  </si>
  <si>
    <t>2.5.4</t>
  </si>
  <si>
    <t>2.5.5</t>
  </si>
  <si>
    <t>2.5.6</t>
  </si>
  <si>
    <t>2.5.7</t>
  </si>
  <si>
    <t>2.5.8</t>
  </si>
  <si>
    <t>2.5.9</t>
  </si>
  <si>
    <t>2.5.10</t>
  </si>
  <si>
    <t>2.6.1</t>
  </si>
  <si>
    <t>2.6.2</t>
  </si>
  <si>
    <t>2.6.3</t>
  </si>
  <si>
    <t>2.6.4</t>
  </si>
  <si>
    <t>2.6.5</t>
  </si>
  <si>
    <t>2.6.6</t>
  </si>
  <si>
    <t>2.7.1</t>
  </si>
  <si>
    <t>2.7.2</t>
  </si>
  <si>
    <t>2.7.3</t>
  </si>
  <si>
    <t>2.7.4</t>
  </si>
  <si>
    <t>2.8.1</t>
  </si>
  <si>
    <t>2.8.2</t>
  </si>
  <si>
    <t>2.8.3</t>
  </si>
  <si>
    <t>2.8.4</t>
  </si>
  <si>
    <t>3.4.1</t>
  </si>
  <si>
    <t>3.4.2</t>
  </si>
  <si>
    <t>3.4.3</t>
  </si>
  <si>
    <t>3.4.4</t>
  </si>
  <si>
    <t>งานระบบน้ำประปา</t>
  </si>
  <si>
    <t>IEC 01. #   4 SQ.MM</t>
  </si>
  <si>
    <t>IEC 01. #   2.5 SQ.MM</t>
  </si>
  <si>
    <t>ตู้</t>
  </si>
  <si>
    <t>ตู้เก็บกุญแจ</t>
  </si>
  <si>
    <t>ป้ายอาคาร</t>
  </si>
  <si>
    <t>2.2.3</t>
  </si>
  <si>
    <t xml:space="preserve"> -  ปูนทรายรองพื้น (หนา 3 ซม.)</t>
  </si>
  <si>
    <t>โถปัสสาวะชาย พร้อมอุปกรณ์</t>
  </si>
  <si>
    <t>โถส้วมนั่งราบ พร้อมอุปกรณ์</t>
  </si>
  <si>
    <t>ป้ายห้องเรียน</t>
  </si>
  <si>
    <t>สวิทซ์ไฟฟ้า</t>
  </si>
  <si>
    <t>เต้ารับไฟฟ้า</t>
  </si>
  <si>
    <t xml:space="preserve"> -  ค่าแรงประกอบและติดตั้ง</t>
  </si>
  <si>
    <t xml:space="preserve"> ทาสีกันสนิมโครงเหล็ก</t>
  </si>
  <si>
    <t>ท่อน</t>
  </si>
  <si>
    <t>2.4.5</t>
  </si>
  <si>
    <t>2.4.6</t>
  </si>
  <si>
    <t>2.2.5</t>
  </si>
  <si>
    <t xml:space="preserve"> - งานฝ้าเพดานยิปซั่มบอร์ดกันชื้น โครงเคร่า T-bar </t>
  </si>
  <si>
    <t xml:space="preserve"> - ฝ้าเพดานยิปซั่มบอร์ด หนา 9 มม. </t>
  </si>
  <si>
    <t xml:space="preserve"> - ไม้ฝาตราช้าง ขนาด 3" </t>
  </si>
  <si>
    <t>ราวบันไดสแตนเลส</t>
  </si>
  <si>
    <t>2.3.2</t>
  </si>
  <si>
    <t xml:space="preserve">   โครงเคร่า C-line  1 ด้าน ฉาบเรียบ ทาสี</t>
  </si>
  <si>
    <t xml:space="preserve"> - งานฉาบผนัง</t>
  </si>
  <si>
    <t xml:space="preserve"> - งานผนังกรุกระเบื้องเซรามิก</t>
  </si>
  <si>
    <t>ยอดฉัตร</t>
  </si>
  <si>
    <t>2.6.7</t>
  </si>
  <si>
    <t>2.6.8</t>
  </si>
  <si>
    <t>งานบริเวณภายนอก</t>
  </si>
  <si>
    <t>ปลูกหญ้าพร้อมดินผสม</t>
  </si>
  <si>
    <t>2.9.1</t>
  </si>
  <si>
    <t>2.9.2</t>
  </si>
  <si>
    <t>Ground Rod</t>
  </si>
  <si>
    <t>สายทองแดงเปลือย ขนาด 70 mm²</t>
  </si>
  <si>
    <t>Bare Copper Tape 25 mm. x 3 mm.</t>
  </si>
  <si>
    <t>Test Box</t>
  </si>
  <si>
    <t>Ground Bar</t>
  </si>
  <si>
    <t>ท่อร้อยสายไฟฟ้า PVC</t>
  </si>
  <si>
    <t xml:space="preserve">ท่อ Ø 32 mm. </t>
  </si>
  <si>
    <t>Fitting , Hanger and Support.</t>
  </si>
  <si>
    <t>Exothermic Weld</t>
  </si>
  <si>
    <t>Steel Lath 25 x 25 x 2 mm. Thick</t>
  </si>
  <si>
    <t>Copper Plate 1 mm. Thick</t>
  </si>
  <si>
    <t>M²</t>
  </si>
  <si>
    <t>รวมราคางานบริเวณภายนอก</t>
  </si>
  <si>
    <t>รวมงานงานระบบน้ำประปา</t>
  </si>
  <si>
    <t>รวมราคาระบบระบายน้ำฝน</t>
  </si>
  <si>
    <t xml:space="preserve">รวมราคาระบบท่ออากาศ </t>
  </si>
  <si>
    <t>รวมราคางานระบบท่อน้ำโสโครก, ท่อน้ำทิ้ง</t>
  </si>
  <si>
    <t>รวมราคา PANEL BOARD</t>
  </si>
  <si>
    <t>รวมราคา LIGHTING FIXTURE</t>
  </si>
  <si>
    <t>รวมราคา CABLE AND WIRE</t>
  </si>
  <si>
    <t>รวมราคา SWITCH, RECEPTACLE AND OTHER EQUIPMENT</t>
  </si>
  <si>
    <t>ปรับแต่งดินแต่ง SLOPE เตรียมปลูกหญ้า</t>
  </si>
  <si>
    <t>ใบระกา</t>
  </si>
  <si>
    <t>ทวย</t>
  </si>
  <si>
    <t>อุปกรณ์ติดตั้ง</t>
  </si>
  <si>
    <t>2.4.7</t>
  </si>
  <si>
    <t>บัวปูนปั้น รอบอาคาร</t>
  </si>
  <si>
    <t>บัวปูนปั้น หัวเสา ฐานเสา</t>
  </si>
  <si>
    <t>2.2.6</t>
  </si>
  <si>
    <t xml:space="preserve"> -  พื้นปูกระเบื้อง เซรามิก ขนาด 24"x24" (บันได)</t>
  </si>
  <si>
    <t>ขั้น</t>
  </si>
  <si>
    <t>2.2.7</t>
  </si>
  <si>
    <t xml:space="preserve"> -  จมูกบันได</t>
  </si>
  <si>
    <t>2.1.4</t>
  </si>
  <si>
    <t>2.1.5</t>
  </si>
  <si>
    <t xml:space="preserve"> -  พื้นปูกระเบื้อง เซรามิก ขนาด 8"x8" (ห้องน้ำ)</t>
  </si>
  <si>
    <t>2.2.8</t>
  </si>
  <si>
    <t>2.2.9</t>
  </si>
  <si>
    <t xml:space="preserve"> -  พื้นกันซึมห้องน้ำ และพื้นหลังคา คสล.</t>
  </si>
  <si>
    <t>กล่อง</t>
  </si>
  <si>
    <t>ตะปูเกลียวยึดกระเบื้อง 2.25 นิ้ว</t>
  </si>
  <si>
    <t>แหนบยึดกระเบื้องเศษ - สแตนเลส</t>
  </si>
  <si>
    <t>แผ่นสะท้อนความร้อน ซีแพคโมเนีย</t>
  </si>
  <si>
    <t>กระเบื้องซีแพคโมเนีย</t>
  </si>
  <si>
    <t>ตะปูเกลียวยึดกระเบื้อง 2 นิ้วปลายสว่าน.</t>
  </si>
  <si>
    <t>ครอบ คสล.</t>
  </si>
  <si>
    <t>2.5.11</t>
  </si>
  <si>
    <t>ผนังกั้นห้องน้ำสำเร็จรูป</t>
  </si>
  <si>
    <t>FD พร้อมข้อต่อ  p- Trap pvc</t>
  </si>
  <si>
    <t>2.6.9</t>
  </si>
  <si>
    <t>2.6.10</t>
  </si>
  <si>
    <t>2.6.11</t>
  </si>
  <si>
    <t>2.6.12</t>
  </si>
  <si>
    <t>2.6.13</t>
  </si>
  <si>
    <t>2.6.14</t>
  </si>
  <si>
    <t>2.6.15</t>
  </si>
  <si>
    <t>รวมระบบป้องกันปลวก</t>
  </si>
  <si>
    <t>บ่อดักขยะ</t>
  </si>
  <si>
    <t>พัดลมระบายอากาศ</t>
  </si>
  <si>
    <t>4.5.1</t>
  </si>
  <si>
    <t>4.5.2</t>
  </si>
  <si>
    <t>4.5.3</t>
  </si>
  <si>
    <t>IEC 01. #   25 SQ.MM</t>
  </si>
  <si>
    <t>4.5.4</t>
  </si>
  <si>
    <t>IEC 01. #   10 SQ.MM</t>
  </si>
  <si>
    <t>4.5.5</t>
  </si>
  <si>
    <t>4.5.6</t>
  </si>
  <si>
    <t>4.5.7</t>
  </si>
  <si>
    <t>สายไฟ THW , 750V 70 C ขนาด 70 mm²</t>
  </si>
  <si>
    <t xml:space="preserve"> -  พื้นปูกระเบื้อง เซรามิก ขนาด 24"x24" (ทางเดิน )</t>
  </si>
  <si>
    <t xml:space="preserve"> -  พื้นปูหินแกรนิต ( พื้นชั้น 1)</t>
  </si>
  <si>
    <t>2.1.6</t>
  </si>
  <si>
    <t xml:space="preserve"> - งานฝ้าเพดานแผ่น Acoustic หนา 12 มม. โครงเคร่า T-bar</t>
  </si>
  <si>
    <t xml:space="preserve"> -  พื้นปูกระเบื้อง เซรามิก ขนาด 24"x24" (เฉลียง)</t>
  </si>
  <si>
    <t xml:space="preserve"> -  พื้น ค.ส.ล.ผิวขัดเรียบ</t>
  </si>
  <si>
    <t>ซุ้มด้านหน้าทางเข้า</t>
  </si>
  <si>
    <t>2.8.5</t>
  </si>
  <si>
    <t>2.8.6</t>
  </si>
  <si>
    <t>2.8.7</t>
  </si>
  <si>
    <t>2.8.8</t>
  </si>
  <si>
    <t>2.8.9</t>
  </si>
  <si>
    <t>2.8.10</t>
  </si>
  <si>
    <t>D11</t>
  </si>
  <si>
    <t>D12</t>
  </si>
  <si>
    <t>D13</t>
  </si>
  <si>
    <t>D14</t>
  </si>
  <si>
    <t>D15</t>
  </si>
  <si>
    <t>D16</t>
  </si>
  <si>
    <t>2.6.16</t>
  </si>
  <si>
    <t>2.6.17</t>
  </si>
  <si>
    <t>2.6.18</t>
  </si>
  <si>
    <t>2.6.19</t>
  </si>
  <si>
    <t>2.6.20</t>
  </si>
  <si>
    <t>2.6.21</t>
  </si>
  <si>
    <t>2.6.22</t>
  </si>
  <si>
    <t>2.6.23</t>
  </si>
  <si>
    <t>2.6.24</t>
  </si>
  <si>
    <t>สวิทซ์ไฟฟ้า 2 ทาง</t>
  </si>
  <si>
    <t>งานระบบกันฟ้าผ่าระบบต่อลงดิน</t>
  </si>
  <si>
    <t>2.8.11</t>
  </si>
  <si>
    <t>2.8.12</t>
  </si>
  <si>
    <t>2.8.13</t>
  </si>
  <si>
    <t>เวทีขนาด 6.60 x 3.50 ม.</t>
  </si>
  <si>
    <t>เคาน์เตอร์ขนาด 0.60 x 2.80 ม.</t>
  </si>
  <si>
    <t>เคาน์เตอร์ขนาด 0.60 x 6.20 ม.</t>
  </si>
  <si>
    <t xml:space="preserve"> - งานผนัง กรุกระเบื้องโมเสก</t>
  </si>
  <si>
    <t xml:space="preserve"> - งานผนัง กรุไม้เทียมสำเร็จรูป</t>
  </si>
  <si>
    <t xml:space="preserve"> - งานกรุกระเบื้องผนังห้องน้ำ  (รวมปูนฉาบรองพื้น)</t>
  </si>
  <si>
    <t>รวมราคาลำดับที่ 2.1</t>
  </si>
  <si>
    <t>รวมราคาลำดับที่ 2.2</t>
  </si>
  <si>
    <t>รวมราคาลำดับที่ 2.3</t>
  </si>
  <si>
    <t>ตัว</t>
  </si>
  <si>
    <t>รวมราคาลำดับที่ 2.4</t>
  </si>
  <si>
    <t>FD  พร้อมข้อต่อ  p- Trap pvc</t>
  </si>
  <si>
    <t>รวมราคาลำดับที่ 2.5</t>
  </si>
  <si>
    <t>รวมราคาลำดับที่ 2.7</t>
  </si>
  <si>
    <t>รวมราคาลำดับที่ 2.8</t>
  </si>
  <si>
    <t xml:space="preserve">    โครงเคร่า C-line  1 ด้าน ฉาบเรียบ ทาสี</t>
  </si>
  <si>
    <t xml:space="preserve"> - งานฝ้าเพดานยิปซั่มบอร์ดกันชื้น หนา 9 มม. </t>
  </si>
  <si>
    <t>ม้วน</t>
  </si>
  <si>
    <t>เคาเตอร์อ่างล้างหน้า คสล. บุหินแกรนิต ขนาด 0.60 ม.</t>
  </si>
  <si>
    <t>เคาเตอร์อ่างล้างหน้า คสล. บุหินแกรนิต ขนาด 0.10 ม.</t>
  </si>
  <si>
    <t>เมตร</t>
  </si>
  <si>
    <t>งานติดตั้งที่วางสบู่</t>
  </si>
  <si>
    <t>งานติดตั้งฝักบัวอาบน้ำ</t>
  </si>
  <si>
    <t>งานติดตั้งราวพาดผ้า</t>
  </si>
  <si>
    <t>งานติดตั้งสายชำระ</t>
  </si>
  <si>
    <t>งานติดตั้งที่ใส่กระดาษชำระ</t>
  </si>
  <si>
    <t>งานติดตั้งกระจกเงากรอบอลูมิเนียม</t>
  </si>
  <si>
    <t>งานติดตั้งก๊อกเดี่ยวติดผนัง</t>
  </si>
  <si>
    <t>2.5.12</t>
  </si>
  <si>
    <t>2.5.13</t>
  </si>
  <si>
    <t xml:space="preserve"> - บัวปูนปั้นสำเร็จรูป</t>
  </si>
  <si>
    <t xml:space="preserve">  DIA.      3/4"</t>
  </si>
  <si>
    <t>- ถังบำบัดสำเร็จรูป 1000 ลิตร</t>
  </si>
  <si>
    <t>- บ่อซึม</t>
  </si>
  <si>
    <t>- ฐาน ค.ส.ล. รับถังบำบัด และทรายถม</t>
  </si>
  <si>
    <t>- ท่อประปา PVC. Ø 1 นิ้ว class 13.5</t>
  </si>
  <si>
    <t>- ท่อประปา PVC. Ø 3/4 นิ้ว class 13.5</t>
  </si>
  <si>
    <t>- ท่อประปา PVC. Ø 1/2 นิ้ว class 13.5</t>
  </si>
  <si>
    <t>- ก็อกน้ำสนาม Ø 3/4 นิ้ว</t>
  </si>
  <si>
    <t>- วาล์ว Ø 3/4 นิ้ว</t>
  </si>
  <si>
    <t>- วาล์ว Ø 1 นิ้ว</t>
  </si>
  <si>
    <t>- ท่อระบายน้ำ PVC. Ø 3 นิ้ว class 8.5</t>
  </si>
  <si>
    <t>- ท่อระบายน้ำ PVC. Ø 4 นิ้ว class 8.5</t>
  </si>
  <si>
    <t>- ท่อใยหิน Ø 8 นิ้ว</t>
  </si>
  <si>
    <t>- ถังดักไขมัน 30 ลิตร</t>
  </si>
  <si>
    <t>- บ่อพัก</t>
  </si>
  <si>
    <t>- บ่อดักขยะ</t>
  </si>
  <si>
    <t>ท่อ  PVC class 13.5</t>
  </si>
  <si>
    <t xml:space="preserve">  DIA.     1"</t>
  </si>
  <si>
    <t xml:space="preserve">  DIA.     3/4"</t>
  </si>
  <si>
    <t xml:space="preserve">  DIA.     1/2"</t>
  </si>
  <si>
    <t>ท่อ  PVC class 8.5</t>
  </si>
  <si>
    <t>รวมราคางานระบบสุขาภิบาล</t>
  </si>
  <si>
    <t xml:space="preserve">  DIA.        4"</t>
  </si>
  <si>
    <t xml:space="preserve"> ท่อ ค.ส.ล.  DIA.  0.20</t>
  </si>
  <si>
    <t>Roof Dain  DIA.        4"</t>
  </si>
  <si>
    <t>รางระบายน้ำ คสล. แบบมีฝ่าปิด</t>
  </si>
  <si>
    <t>หมวดงานระบบไฟฟ้า</t>
  </si>
  <si>
    <t>- LOAD CENTER -  เมน 63 Amp 1 Phase</t>
  </si>
  <si>
    <t>- โคมไฟระย้า</t>
  </si>
  <si>
    <t>- โคมไฟครอบแก้ว 32w.</t>
  </si>
  <si>
    <t>- โคมไฟดาวน์ไลท์ขอบสีขาว 18 w.</t>
  </si>
  <si>
    <t>- โคมไฟติดผนัง</t>
  </si>
  <si>
    <t>- สวิทซ์ ปิด-เปิดทางเดียวชนิดฝังในผนัง</t>
  </si>
  <si>
    <t>- ท่อร้อยสายไฟ PVC.  3/8"</t>
  </si>
  <si>
    <t>- ท่อร้อยสายไฟ PVC.  1/2"</t>
  </si>
  <si>
    <t>- ท่ออ่อน</t>
  </si>
  <si>
    <t>- สายดินพร้อมอุปกรณ์</t>
  </si>
  <si>
    <t>โคมไฟระย้า</t>
  </si>
  <si>
    <t>โคมไฟติดผนัง</t>
  </si>
  <si>
    <t>รวมระบบงานไฟฟ้า</t>
  </si>
  <si>
    <t>4.5.8</t>
  </si>
  <si>
    <t>4.5.9</t>
  </si>
  <si>
    <t>4.5.10</t>
  </si>
  <si>
    <t>จุด</t>
  </si>
  <si>
    <t>- เมนเครื่องทำน้ำอุ่น</t>
  </si>
  <si>
    <t>- B29</t>
  </si>
  <si>
    <t>รวมราคางานระบบกันฟ้าผ่าระบบต่อลงดิน</t>
  </si>
  <si>
    <t>วัสดุอุปกรณ์ประกอบบ่อพักน้ำเสีย</t>
  </si>
  <si>
    <t>ท่อร้อยสาย  EMT  Ø 1/2"</t>
  </si>
  <si>
    <t>(2.3),(3.1)</t>
  </si>
  <si>
    <t>(3.1)</t>
  </si>
  <si>
    <t>(2.1),(3.1)</t>
  </si>
  <si>
    <t>(2.1)</t>
  </si>
  <si>
    <t>(2.2),(3.1)</t>
  </si>
  <si>
    <t>เมนเครื่องทำน้ำร้อน</t>
  </si>
  <si>
    <t>SMOKE DETECTOR</t>
  </si>
  <si>
    <t>สายไฟ  2.5 SQ.mm.  IEC 01</t>
  </si>
  <si>
    <t>อุปกรณ์ประกอบการติดตั้ง</t>
  </si>
  <si>
    <t>4.6.1</t>
  </si>
  <si>
    <t>4.6.2</t>
  </si>
  <si>
    <t>4.6.3</t>
  </si>
  <si>
    <t>4.6.4</t>
  </si>
  <si>
    <t>4.6.5</t>
  </si>
  <si>
    <t>4.6.6</t>
  </si>
  <si>
    <t>4.6.7</t>
  </si>
  <si>
    <t>ALARM BELL, SIZE AS SPECIFIED</t>
  </si>
  <si>
    <t>MANUAL STATION W/TEL JACK , SIZE AS SPECIFIED</t>
  </si>
  <si>
    <t>ELECTRIC BELL</t>
  </si>
  <si>
    <t>งานระบบแจ้งเหตุเพลิงไหม้</t>
  </si>
  <si>
    <t>รวมราคางานระบบแจ้งเหตุเพลิงไหม้</t>
  </si>
  <si>
    <t xml:space="preserve">  ปรับบริเวณและปักผัง</t>
  </si>
  <si>
    <t xml:space="preserve"> งานโครงสร้าง ค.ส.ล.</t>
  </si>
  <si>
    <t xml:space="preserve">  ขุดดินฐานรากพร้อมถมกลับ</t>
  </si>
  <si>
    <t xml:space="preserve">  ทรายหยาบ</t>
  </si>
  <si>
    <t xml:space="preserve">  คอนกรีตหยาบ</t>
  </si>
  <si>
    <t xml:space="preserve">  งานคอนกรีต</t>
  </si>
  <si>
    <t xml:space="preserve">  งานไม้แบบ</t>
  </si>
  <si>
    <t xml:space="preserve">   -  ตะปู</t>
  </si>
  <si>
    <t xml:space="preserve">  งานเหล็กเสริมคอนกรีต</t>
  </si>
  <si>
    <t xml:space="preserve">   -  เหล็กเส้นกลม SR-24</t>
  </si>
  <si>
    <t xml:space="preserve">   -  เหล็กข้ออ้อย SD-40</t>
  </si>
  <si>
    <t xml:space="preserve">  -  ลวดผูกเหล็ก</t>
  </si>
  <si>
    <t xml:space="preserve">  งานพื้นสำเร็จรูปแบบ</t>
  </si>
  <si>
    <t xml:space="preserve">  -  Wire mesh  4มม. @ 0.20 ม.</t>
  </si>
  <si>
    <t xml:space="preserve"> - งานฉาบ</t>
  </si>
  <si>
    <t xml:space="preserve"> - ฝ้าเพดานยิบซั่มบอร์ดหนา 9 มม.</t>
  </si>
  <si>
    <t xml:space="preserve">   โครงเคร่า C-line 1 ด้าน  ภายในกรุตาข่ายกันแมลง</t>
  </si>
  <si>
    <t>บ่อซึม</t>
  </si>
  <si>
    <t>ประมาณราคาโดย</t>
  </si>
  <si>
    <t xml:space="preserve"> - งานผนัง กรุไม้เทียมสำเร็จรูป ยึดติดผนัง</t>
  </si>
  <si>
    <t>เคาน์เตอร์ห้องครัว</t>
  </si>
  <si>
    <t>ท่อร้อยสาย</t>
  </si>
  <si>
    <t xml:space="preserve"> -  แปเหล็กชุบสังกะสี G ROOF หนา 0.65 มม</t>
  </si>
  <si>
    <t>ค่าแรงมุงหลังคา</t>
  </si>
  <si>
    <t xml:space="preserve"> - งานผนังก่ออิฐมอญ เต็มแผ่น</t>
  </si>
  <si>
    <t>บ้านพักอาศัย คสล. ชั้นเดียว</t>
  </si>
  <si>
    <t>ประมาณราคาค่า ก่อสร้างบ้านพักอาศัย คสล. ชั้นเดียว</t>
  </si>
  <si>
    <t>อ่างล้างหน้าชนิดวางบนเคาน์เตอร์ พร้อมก๊อกอ่างและอุปกรณ์</t>
  </si>
  <si>
    <t xml:space="preserve"> - งานกรุกระเบื้องผนังห้องครัว (รวมปูนฉาบรองพื้น)</t>
  </si>
  <si>
    <t>ระแนงด้านข้าง</t>
  </si>
  <si>
    <t xml:space="preserve"> -  เหล็ก - 25 x 25 x 2.0 mm.</t>
  </si>
  <si>
    <r>
      <t>คิดเป็นเงินประมาณ</t>
    </r>
    <r>
      <rPr>
        <sz val="16"/>
        <rFont val="TH SarabunPSK"/>
        <family val="2"/>
      </rPr>
      <t xml:space="preserve"> (ตัวอักษร)</t>
    </r>
  </si>
  <si>
    <t xml:space="preserve"> -  เหล็ก  C - 100 x 50 x 20 x 2.0 mm. </t>
  </si>
  <si>
    <t>ต้น</t>
  </si>
  <si>
    <t xml:space="preserve">   -  งานไม้แบบคาน</t>
  </si>
  <si>
    <t xml:space="preserve">   -  งานไม้แบบเสา</t>
  </si>
  <si>
    <t xml:space="preserve">   -  งานไม้แบบฐานราก</t>
  </si>
  <si>
    <t>ฐาน</t>
  </si>
  <si>
    <t>ถังบำบัดสำเร็จรูป ขนาด 1000 ลิตร</t>
  </si>
  <si>
    <t>CONSUMER UNIT 12 Ch</t>
  </si>
  <si>
    <t>ค่าดำเนินการ</t>
  </si>
  <si>
    <t xml:space="preserve">สถานที่ก่อสร้าง    : </t>
  </si>
  <si>
    <t>รวมานประตู</t>
  </si>
  <si>
    <t>1.2 มม.</t>
  </si>
  <si>
    <t>Fu 1*18 W</t>
  </si>
  <si>
    <t xml:space="preserve">   -  คอนกรีตโครงสร้าง ( 240 ksc. ทรงลูกบาศก์ )</t>
  </si>
  <si>
    <t xml:space="preserve">   -  งานไม้แบบเสาตอม่อ</t>
  </si>
  <si>
    <t xml:space="preserve">   -  งานไม้ค้ำยัน</t>
  </si>
  <si>
    <t xml:space="preserve">   -  งานไม้แบบท้องพื้น</t>
  </si>
  <si>
    <t xml:space="preserve">   -  งานไม้แบบท้องคาน</t>
  </si>
  <si>
    <r>
      <t xml:space="preserve"> - งานผนังก่ออิฐมอญ</t>
    </r>
    <r>
      <rPr>
        <i/>
        <sz val="16"/>
        <rFont val="TH Sarabun New"/>
        <family val="2"/>
      </rPr>
      <t xml:space="preserve"> </t>
    </r>
    <r>
      <rPr>
        <sz val="16"/>
        <rFont val="TH Sarabun New"/>
        <family val="2"/>
      </rPr>
      <t>ครึ่งแผ่น</t>
    </r>
  </si>
  <si>
    <t>สกรูยึดแผ่น</t>
  </si>
  <si>
    <t>D3 ประตูห้องน้ำ</t>
  </si>
  <si>
    <t>งานบันใด</t>
  </si>
  <si>
    <t>ราวบันได</t>
  </si>
  <si>
    <t>D4 ประตูห้องแต่งตัว</t>
  </si>
  <si>
    <t xml:space="preserve"> - งานสกิมภายใน</t>
  </si>
  <si>
    <t xml:space="preserve"> - งานสกิมภายนอก</t>
  </si>
  <si>
    <t>เส้น</t>
  </si>
  <si>
    <t>ขด</t>
  </si>
  <si>
    <t xml:space="preserve"> -  แปสำเร็จกัลวาไนซ์ หนา 0.55 มม</t>
  </si>
  <si>
    <t xml:space="preserve"> - งานก่ออิฐบล็อกตัน ครึ่งแผ่น</t>
  </si>
  <si>
    <t>ก้อน</t>
  </si>
  <si>
    <t xml:space="preserve">    - ปูนก่อเสือ</t>
  </si>
  <si>
    <t>ถุง</t>
  </si>
  <si>
    <t xml:space="preserve">    - ปูนฉาบเสือพลัส</t>
  </si>
  <si>
    <t xml:space="preserve"> -  F1 พื้นปูกระเบื้อง ขนาด 60x60 ซม. </t>
  </si>
  <si>
    <t xml:space="preserve"> -  F2 พื้นปูกระเบื้องห้องน้ำ (กันลื่น)</t>
  </si>
  <si>
    <t xml:space="preserve"> -  F3 พื้นปูกระเบื้องระเบียง (กันลื่น)</t>
  </si>
  <si>
    <t xml:space="preserve"> -  บัวเชิงผนัง PVC ลายไม้</t>
  </si>
  <si>
    <t xml:space="preserve"> - ฝ้าเพดานสมาร์ทบอร์ด 6 มม. +เพดานสมาร์ทบอร์ดระบายอากาศ46 มม.</t>
  </si>
  <si>
    <t>ครอบสัน</t>
  </si>
  <si>
    <t>หลังคามุงกระเบื้องแผ่นเรียบตราเพรช</t>
  </si>
  <si>
    <t>ครอบปิดท้ายสันตะเฆ้</t>
  </si>
  <si>
    <t>ไม้เชิงชายสำเร็จรูป 3 ม.</t>
  </si>
  <si>
    <t>D2 ประตูห้องนอนและประตูหลังบ้าน</t>
  </si>
  <si>
    <t>D1 บานเลื่อนคู่ ไม้สัก</t>
  </si>
  <si>
    <t>D4 ประตูห้องครัวอลูมิเนียม</t>
  </si>
  <si>
    <t>W1 หน้าต่างบานเลื่อนคู่ ไม้สัก</t>
  </si>
  <si>
    <t>W2 หน้าต่างบานเลื่อนคสลับ ไม้สัก</t>
  </si>
  <si>
    <t>W3 Aluminum กระจกบานเลื่อนคู่</t>
  </si>
  <si>
    <t>W4 Aluminum กระจกบานเลื่อนสลับ</t>
  </si>
  <si>
    <t>W5 Aluminum กระจกบานเปิดเดี่ยว</t>
  </si>
  <si>
    <t>W6 Aluminum กระจกบานกระทุ้งห้องน้ำ</t>
  </si>
  <si>
    <t>ระไม้ตกแต่งอลูปมิเนียม</t>
  </si>
  <si>
    <t xml:space="preserve"> - งานผนัง กรุหิบทรายตกแต่ง</t>
  </si>
  <si>
    <t xml:space="preserve">    - ทราย</t>
  </si>
  <si>
    <t xml:space="preserve">    - ทรายฉาบ</t>
  </si>
  <si>
    <t>ท่อ  PVC class 5.0</t>
  </si>
  <si>
    <t>ท่อ</t>
  </si>
  <si>
    <t>โคมไฟ DOWN LIGHT LED PANEL BOARD 12 W.</t>
  </si>
  <si>
    <t>โคมไฟ LED PANEL BOARD 24 W.</t>
  </si>
  <si>
    <t xml:space="preserve">  -  แผ่นพื้นสำเร็จรูป รับ นน.ปลอดภัย 200 กก./ ตร.ม. </t>
  </si>
  <si>
    <t xml:space="preserve"> -  เหล็กกล่อง  100 x 50 x2.0 mm. </t>
  </si>
  <si>
    <t xml:space="preserve">    - อิฐมอญ</t>
  </si>
  <si>
    <t xml:space="preserve">    - ปูช้าง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</si>
</sst>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0.0000"/>
    <numFmt numFmtId="168" formatCode="_(* #,##0_);_(* \(#,##0\);_(* &quot;-&quot;??_);_(@_)"/>
    <numFmt numFmtId="169" formatCode="#,###"/>
    <numFmt numFmtId="170" formatCode="0.0"/>
    <numFmt numFmtId="171" formatCode="&quot;\&quot;#,##0;[Red]&quot;\&quot;\-#,##0"/>
    <numFmt numFmtId="172" formatCode="_ * #,##0.00_ ;_ * \-#,##0.00_ ;_ * &quot;-&quot;??_ ;_ @_ "/>
    <numFmt numFmtId="173" formatCode="_ * #,##0_ ;_ * \-#,##0_ ;_ * &quot;-&quot;_ ;_ @_ "/>
    <numFmt numFmtId="174" formatCode="&quot;฿&quot;\t#,##0_);\(&quot;฿&quot;\t#,##0\)"/>
    <numFmt numFmtId="175" formatCode="\t0.00E+00"/>
    <numFmt numFmtId="176" formatCode="#,##0.0_);\(#,##0.0\)"/>
    <numFmt numFmtId="177" formatCode="\ว\ว\/\ด\ด\/\ป\ป"/>
    <numFmt numFmtId="178" formatCode="0.0&quot;  &quot;"/>
    <numFmt numFmtId="179" formatCode="#,##0\ &quot;F&quot;;[Red]\-#,##0\ &quot;F&quot;"/>
    <numFmt numFmtId="180" formatCode="dd\-mmm\-yy_)"/>
    <numFmt numFmtId="181" formatCode="[$-187041E]d\ mmmm\ yyyy;@"/>
    <numFmt numFmtId="182" formatCode="[$-187041E]d\ mmm\ yy;@"/>
    <numFmt numFmtId="183" formatCode="[$-107041E]d\ mmm\ yy;@"/>
    <numFmt numFmtId="184" formatCode="0.000"/>
  </numFmts>
  <fonts count="57">
    <font>
      <sz val="14"/>
      <name val="FreesiaUPC"/>
      <charset val="222"/>
    </font>
    <font>
      <sz val="14"/>
      <name val="FreesiaUPC"/>
      <family val="2"/>
      <charset val="222"/>
    </font>
    <font>
      <b/>
      <sz val="14"/>
      <name val="DilleniaUPC"/>
      <family val="1"/>
      <charset val="222"/>
    </font>
    <font>
      <sz val="8"/>
      <name val="FreesiaUPC"/>
      <family val="2"/>
      <charset val="22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sz val="14"/>
      <name val="Cordia New"/>
      <family val="2"/>
    </font>
    <font>
      <sz val="14"/>
      <name val="Cordia New"/>
      <family val="2"/>
      <charset val="222"/>
    </font>
    <font>
      <sz val="16"/>
      <name val="Angsana New"/>
      <family val="1"/>
    </font>
    <font>
      <sz val="14"/>
      <name val="AngsanaUPC"/>
      <family val="1"/>
      <charset val="222"/>
    </font>
    <font>
      <sz val="14"/>
      <name val="Cordia New"/>
      <family val="2"/>
    </font>
    <font>
      <sz val="10"/>
      <name val="Arial"/>
      <family val="2"/>
    </font>
    <font>
      <sz val="10"/>
      <name val="Arial"/>
      <family val="2"/>
    </font>
    <font>
      <sz val="14"/>
      <name val="SV Rojchana"/>
    </font>
    <font>
      <sz val="11"/>
      <name val="?? ?????"/>
      <family val="3"/>
      <charset val="255"/>
    </font>
    <font>
      <sz val="10"/>
      <name val="Helv"/>
      <family val="2"/>
    </font>
    <font>
      <sz val="16"/>
      <name val="DilleniaUPC"/>
      <family val="1"/>
      <charset val="222"/>
    </font>
    <font>
      <sz val="11"/>
      <name val="??"/>
      <family val="1"/>
    </font>
    <font>
      <sz val="12"/>
      <name val="Helv"/>
      <family val="2"/>
    </font>
    <font>
      <sz val="12"/>
      <name val="Times New Roman"/>
      <family val="1"/>
    </font>
    <font>
      <sz val="12"/>
      <name val="????"/>
      <charset val="136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4"/>
      <name val="Cordia New"/>
      <family val="3"/>
    </font>
    <font>
      <sz val="14"/>
      <name val="BrowalliaUPC"/>
      <family val="2"/>
    </font>
    <font>
      <sz val="14"/>
      <name val="FreesiaUPC"/>
      <family val="2"/>
    </font>
    <font>
      <b/>
      <sz val="16"/>
      <name val="TH SarabunPSK"/>
      <family val="2"/>
    </font>
    <font>
      <sz val="16"/>
      <color rgb="FF000000"/>
      <name val="TH SarabunPSK"/>
      <family val="2"/>
    </font>
    <font>
      <sz val="16"/>
      <name val="TH SarabunPSK"/>
      <family val="2"/>
    </font>
    <font>
      <sz val="16"/>
      <color indexed="8"/>
      <name val="TH SarabunPSK"/>
      <family val="2"/>
    </font>
    <font>
      <u/>
      <sz val="16"/>
      <name val="TH SarabunPSK"/>
      <family val="2"/>
    </font>
    <font>
      <b/>
      <sz val="16"/>
      <color indexed="8"/>
      <name val="TH SarabunPSK"/>
      <family val="2"/>
    </font>
    <font>
      <sz val="16"/>
      <color indexed="10"/>
      <name val="TH SarabunPSK"/>
      <family val="2"/>
    </font>
    <font>
      <sz val="16"/>
      <color indexed="8"/>
      <name val="TH Sarabun New"/>
      <family val="2"/>
    </font>
    <font>
      <b/>
      <sz val="16"/>
      <color indexed="8"/>
      <name val="TH Sarabun New"/>
      <family val="2"/>
    </font>
    <font>
      <b/>
      <sz val="16"/>
      <name val="TH Sarabun New"/>
      <family val="2"/>
    </font>
    <font>
      <sz val="16"/>
      <name val="TH Sarabun New"/>
      <family val="2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i/>
      <sz val="16"/>
      <name val="TH Sarabun New"/>
      <family val="2"/>
    </font>
    <font>
      <u/>
      <sz val="16"/>
      <name val="TH Sarabun New"/>
      <family val="2"/>
    </font>
  </fonts>
  <fills count="2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10">
    <xf numFmtId="0" fontId="0" fillId="0" borderId="0"/>
    <xf numFmtId="0" fontId="27" fillId="0" borderId="0"/>
    <xf numFmtId="0" fontId="28" fillId="0" borderId="0">
      <alignment vertical="center"/>
    </xf>
    <xf numFmtId="171" fontId="29" fillId="0" borderId="0" applyFont="0" applyFill="0" applyBorder="0" applyAlignment="0" applyProtection="0"/>
    <xf numFmtId="172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4" fontId="30" fillId="0" borderId="0" applyFont="0" applyFill="0" applyBorder="0" applyAlignment="0" applyProtection="0"/>
    <xf numFmtId="174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173" fontId="26" fillId="0" borderId="0" applyFont="0" applyFill="0" applyBorder="0" applyAlignment="0" applyProtection="0"/>
    <xf numFmtId="38" fontId="29" fillId="0" borderId="0" applyFont="0" applyFill="0" applyBorder="0" applyAlignment="0" applyProtection="0"/>
    <xf numFmtId="40" fontId="29" fillId="0" borderId="0" applyFont="0" applyFill="0" applyBorder="0" applyAlignment="0" applyProtection="0"/>
    <xf numFmtId="0" fontId="32" fillId="0" borderId="0"/>
    <xf numFmtId="0" fontId="33" fillId="0" borderId="0"/>
    <xf numFmtId="9" fontId="26" fillId="2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6" fillId="4" borderId="0" applyNumberFormat="0" applyBorder="0" applyAlignment="0" applyProtection="0"/>
    <xf numFmtId="0" fontId="26" fillId="0" borderId="0" applyFill="0" applyBorder="0" applyAlignment="0"/>
    <xf numFmtId="176" fontId="30" fillId="0" borderId="0" applyFill="0" applyBorder="0" applyAlignment="0"/>
    <xf numFmtId="0" fontId="34" fillId="0" borderId="0" applyFill="0" applyBorder="0" applyAlignment="0"/>
    <xf numFmtId="0" fontId="35" fillId="0" borderId="0" applyFill="0" applyBorder="0" applyAlignment="0"/>
    <xf numFmtId="0" fontId="35" fillId="0" borderId="0" applyFill="0" applyBorder="0" applyAlignment="0"/>
    <xf numFmtId="177" fontId="31" fillId="0" borderId="0" applyFill="0" applyBorder="0" applyAlignment="0"/>
    <xf numFmtId="178" fontId="31" fillId="0" borderId="0" applyFill="0" applyBorder="0" applyAlignment="0"/>
    <xf numFmtId="176" fontId="30" fillId="0" borderId="0" applyFill="0" applyBorder="0" applyAlignment="0"/>
    <xf numFmtId="0" fontId="7" fillId="21" borderId="1" applyNumberFormat="0" applyAlignment="0" applyProtection="0"/>
    <xf numFmtId="0" fontId="8" fillId="22" borderId="2" applyNumberFormat="0" applyAlignment="0" applyProtection="0"/>
    <xf numFmtId="177" fontId="31" fillId="0" borderId="0" applyFont="0" applyFill="0" applyBorder="0" applyAlignment="0" applyProtection="0"/>
    <xf numFmtId="176" fontId="30" fillId="0" borderId="0" applyFont="0" applyFill="0" applyBorder="0" applyAlignment="0" applyProtection="0"/>
    <xf numFmtId="14" fontId="36" fillId="0" borderId="0" applyFill="0" applyBorder="0" applyAlignment="0"/>
    <xf numFmtId="3" fontId="2" fillId="0" borderId="3" applyFill="0" applyBorder="0" applyProtection="0">
      <alignment horizontal="center" vertical="center"/>
    </xf>
    <xf numFmtId="177" fontId="31" fillId="0" borderId="0" applyFill="0" applyBorder="0" applyAlignment="0"/>
    <xf numFmtId="176" fontId="30" fillId="0" borderId="0" applyFill="0" applyBorder="0" applyAlignment="0"/>
    <xf numFmtId="177" fontId="31" fillId="0" borderId="0" applyFill="0" applyBorder="0" applyAlignment="0"/>
    <xf numFmtId="178" fontId="31" fillId="0" borderId="0" applyFill="0" applyBorder="0" applyAlignment="0"/>
    <xf numFmtId="176" fontId="30" fillId="0" borderId="0" applyFill="0" applyBorder="0" applyAlignment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38" fontId="37" fillId="23" borderId="0" applyNumberFormat="0" applyBorder="0" applyAlignment="0" applyProtection="0"/>
    <xf numFmtId="0" fontId="38" fillId="0" borderId="4" applyNumberFormat="0" applyAlignment="0" applyProtection="0">
      <alignment horizontal="left" vertical="center"/>
    </xf>
    <xf numFmtId="0" fontId="38" fillId="0" borderId="5">
      <alignment horizontal="left" vertical="center"/>
    </xf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14" fillId="8" borderId="1" applyNumberFormat="0" applyAlignment="0" applyProtection="0"/>
    <xf numFmtId="10" fontId="37" fillId="24" borderId="9" applyNumberFormat="0" applyBorder="0" applyAlignment="0" applyProtection="0"/>
    <xf numFmtId="177" fontId="31" fillId="0" borderId="0" applyFill="0" applyBorder="0" applyAlignment="0"/>
    <xf numFmtId="176" fontId="30" fillId="0" borderId="0" applyFill="0" applyBorder="0" applyAlignment="0"/>
    <xf numFmtId="177" fontId="31" fillId="0" borderId="0" applyFill="0" applyBorder="0" applyAlignment="0"/>
    <xf numFmtId="178" fontId="31" fillId="0" borderId="0" applyFill="0" applyBorder="0" applyAlignment="0"/>
    <xf numFmtId="176" fontId="30" fillId="0" borderId="0" applyFill="0" applyBorder="0" applyAlignment="0"/>
    <xf numFmtId="0" fontId="15" fillId="0" borderId="10" applyNumberFormat="0" applyFill="0" applyAlignment="0" applyProtection="0"/>
    <xf numFmtId="0" fontId="16" fillId="25" borderId="0" applyNumberFormat="0" applyBorder="0" applyAlignment="0" applyProtection="0"/>
    <xf numFmtId="179" fontId="34" fillId="0" borderId="0"/>
    <xf numFmtId="0" fontId="24" fillId="0" borderId="0"/>
    <xf numFmtId="0" fontId="22" fillId="0" borderId="0"/>
    <xf numFmtId="0" fontId="21" fillId="0" borderId="0"/>
    <xf numFmtId="0" fontId="1" fillId="26" borderId="11" applyNumberFormat="0" applyFont="0" applyAlignment="0" applyProtection="0"/>
    <xf numFmtId="0" fontId="17" fillId="21" borderId="12" applyNumberFormat="0" applyAlignment="0" applyProtection="0"/>
    <xf numFmtId="0" fontId="39" fillId="0" borderId="0" applyFont="0" applyFill="0" applyBorder="0" applyAlignment="0" applyProtection="0"/>
    <xf numFmtId="177" fontId="31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0" fontId="26" fillId="0" borderId="0" applyFont="0" applyFill="0" applyBorder="0" applyAlignment="0" applyProtection="0"/>
    <xf numFmtId="177" fontId="31" fillId="0" borderId="0" applyFill="0" applyBorder="0" applyAlignment="0"/>
    <xf numFmtId="176" fontId="30" fillId="0" borderId="0" applyFill="0" applyBorder="0" applyAlignment="0"/>
    <xf numFmtId="177" fontId="31" fillId="0" borderId="0" applyFill="0" applyBorder="0" applyAlignment="0"/>
    <xf numFmtId="178" fontId="31" fillId="0" borderId="0" applyFill="0" applyBorder="0" applyAlignment="0"/>
    <xf numFmtId="176" fontId="30" fillId="0" borderId="0" applyFill="0" applyBorder="0" applyAlignment="0"/>
    <xf numFmtId="49" fontId="36" fillId="0" borderId="0" applyFill="0" applyBorder="0" applyAlignment="0"/>
    <xf numFmtId="0" fontId="35" fillId="0" borderId="0" applyFill="0" applyBorder="0" applyAlignment="0"/>
    <xf numFmtId="0" fontId="35" fillId="0" borderId="0" applyFill="0" applyBorder="0" applyAlignment="0"/>
    <xf numFmtId="0" fontId="18" fillId="0" borderId="0" applyNumberFormat="0" applyFill="0" applyBorder="0" applyAlignment="0" applyProtection="0"/>
    <xf numFmtId="0" fontId="19" fillId="0" borderId="13" applyNumberFormat="0" applyFill="0" applyAlignment="0" applyProtection="0"/>
    <xf numFmtId="174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23" fillId="0" borderId="0"/>
    <xf numFmtId="0" fontId="21" fillId="0" borderId="0"/>
    <xf numFmtId="0" fontId="26" fillId="0" borderId="0"/>
    <xf numFmtId="0" fontId="26" fillId="0" borderId="0"/>
    <xf numFmtId="165" fontId="25" fillId="0" borderId="0" applyFont="0" applyFill="0" applyBorder="0" applyAlignment="0" applyProtection="0"/>
    <xf numFmtId="0" fontId="40" fillId="0" borderId="0"/>
    <xf numFmtId="0" fontId="25" fillId="0" borderId="0"/>
    <xf numFmtId="9" fontId="41" fillId="0" borderId="0" applyFont="0" applyFill="0" applyBorder="0" applyAlignment="0" applyProtection="0"/>
  </cellStyleXfs>
  <cellXfs count="1332">
    <xf numFmtId="0" fontId="0" fillId="0" borderId="0" xfId="0"/>
    <xf numFmtId="0" fontId="43" fillId="0" borderId="0" xfId="0" applyFont="1" applyAlignment="1"/>
    <xf numFmtId="0" fontId="43" fillId="0" borderId="0" xfId="0" applyFont="1" applyAlignment="1">
      <alignment horizontal="center"/>
    </xf>
    <xf numFmtId="49" fontId="44" fillId="0" borderId="14" xfId="0" applyNumberFormat="1" applyFont="1" applyFill="1" applyBorder="1"/>
    <xf numFmtId="0" fontId="44" fillId="0" borderId="14" xfId="0" applyFont="1" applyFill="1" applyBorder="1" applyAlignment="1">
      <alignment horizontal="center"/>
    </xf>
    <xf numFmtId="165" fontId="44" fillId="0" borderId="14" xfId="101" applyNumberFormat="1" applyFont="1" applyFill="1" applyBorder="1" applyAlignment="1">
      <alignment horizontal="right"/>
    </xf>
    <xf numFmtId="165" fontId="44" fillId="0" borderId="14" xfId="101" applyFont="1" applyFill="1" applyBorder="1" applyAlignment="1">
      <alignment horizontal="right"/>
    </xf>
    <xf numFmtId="0" fontId="45" fillId="0" borderId="0" xfId="0" applyFont="1" applyFill="1" applyBorder="1" applyAlignment="1" applyProtection="1">
      <alignment horizontal="left"/>
    </xf>
    <xf numFmtId="49" fontId="45" fillId="0" borderId="0" xfId="0" applyNumberFormat="1" applyFont="1" applyFill="1" applyBorder="1" applyAlignment="1" applyProtection="1">
      <alignment horizontal="right"/>
      <protection hidden="1"/>
    </xf>
    <xf numFmtId="0" fontId="45" fillId="0" borderId="0" xfId="0" applyFont="1" applyFill="1" applyBorder="1" applyAlignment="1" applyProtection="1">
      <alignment horizontal="center"/>
      <protection hidden="1"/>
    </xf>
    <xf numFmtId="0" fontId="45" fillId="0" borderId="0" xfId="0" applyFont="1" applyFill="1" applyBorder="1" applyProtection="1">
      <protection hidden="1"/>
    </xf>
    <xf numFmtId="165" fontId="45" fillId="0" borderId="0" xfId="101" applyFont="1" applyFill="1" applyBorder="1" applyProtection="1">
      <protection hidden="1"/>
    </xf>
    <xf numFmtId="165" fontId="45" fillId="0" borderId="0" xfId="101" applyFont="1" applyFill="1" applyBorder="1" applyAlignment="1" applyProtection="1">
      <alignment horizontal="left"/>
      <protection locked="0"/>
    </xf>
    <xf numFmtId="0" fontId="45" fillId="0" borderId="0" xfId="0" applyFont="1" applyFill="1" applyBorder="1" applyProtection="1"/>
    <xf numFmtId="165" fontId="45" fillId="0" borderId="0" xfId="101" applyFont="1" applyFill="1" applyBorder="1"/>
    <xf numFmtId="0" fontId="45" fillId="0" borderId="0" xfId="0" applyFont="1" applyFill="1" applyBorder="1"/>
    <xf numFmtId="49" fontId="45" fillId="0" borderId="0" xfId="0" applyNumberFormat="1" applyFont="1" applyFill="1" applyBorder="1" applyProtection="1">
      <protection hidden="1"/>
    </xf>
    <xf numFmtId="0" fontId="45" fillId="0" borderId="0" xfId="0" applyFont="1" applyFill="1" applyBorder="1" applyAlignment="1" applyProtection="1">
      <alignment horizontal="right"/>
      <protection locked="0"/>
    </xf>
    <xf numFmtId="0" fontId="45" fillId="0" borderId="0" xfId="0" applyFont="1" applyFill="1" applyBorder="1" applyAlignment="1" applyProtection="1">
      <alignment horizontal="left"/>
      <protection hidden="1"/>
    </xf>
    <xf numFmtId="165" fontId="45" fillId="0" borderId="0" xfId="101" applyFont="1" applyFill="1" applyBorder="1" applyAlignment="1" applyProtection="1">
      <alignment horizontal="right"/>
      <protection locked="0"/>
    </xf>
    <xf numFmtId="165" fontId="45" fillId="0" borderId="0" xfId="101" applyFont="1" applyFill="1" applyBorder="1" applyAlignment="1" applyProtection="1">
      <alignment horizontal="left"/>
      <protection hidden="1"/>
    </xf>
    <xf numFmtId="0" fontId="45" fillId="0" borderId="0" xfId="0" applyFont="1" applyFill="1" applyBorder="1" applyProtection="1">
      <protection locked="0"/>
    </xf>
    <xf numFmtId="0" fontId="45" fillId="0" borderId="0" xfId="0" applyFont="1" applyFill="1" applyBorder="1" applyAlignment="1" applyProtection="1"/>
    <xf numFmtId="182" fontId="45" fillId="0" borderId="0" xfId="0" applyNumberFormat="1" applyFont="1" applyFill="1" applyBorder="1" applyAlignment="1" applyProtection="1">
      <alignment horizontal="center"/>
      <protection locked="0"/>
    </xf>
    <xf numFmtId="0" fontId="45" fillId="0" borderId="0" xfId="0" applyFont="1" applyFill="1" applyBorder="1" applyAlignment="1" applyProtection="1">
      <alignment horizontal="left" indent="1"/>
      <protection locked="0"/>
    </xf>
    <xf numFmtId="165" fontId="45" fillId="0" borderId="0" xfId="101" applyFont="1" applyFill="1" applyBorder="1" applyAlignment="1" applyProtection="1">
      <alignment horizontal="left" indent="1"/>
    </xf>
    <xf numFmtId="0" fontId="45" fillId="0" borderId="0" xfId="0" applyFont="1" applyFill="1"/>
    <xf numFmtId="49" fontId="45" fillId="0" borderId="0" xfId="0" applyNumberFormat="1" applyFont="1" applyFill="1"/>
    <xf numFmtId="165" fontId="45" fillId="0" borderId="0" xfId="101" applyFont="1" applyFill="1"/>
    <xf numFmtId="165" fontId="44" fillId="0" borderId="0" xfId="101" applyFont="1" applyFill="1" applyBorder="1"/>
    <xf numFmtId="0" fontId="44" fillId="0" borderId="0" xfId="0" applyFont="1" applyFill="1" applyBorder="1"/>
    <xf numFmtId="4" fontId="42" fillId="0" borderId="9" xfId="101" applyNumberFormat="1" applyFont="1" applyFill="1" applyBorder="1" applyAlignment="1" applyProtection="1">
      <alignment horizontal="center" vertical="top"/>
      <protection hidden="1"/>
    </xf>
    <xf numFmtId="165" fontId="42" fillId="0" borderId="9" xfId="101" applyFont="1" applyFill="1" applyBorder="1" applyAlignment="1" applyProtection="1">
      <alignment horizontal="center" vertical="top"/>
      <protection hidden="1"/>
    </xf>
    <xf numFmtId="165" fontId="42" fillId="0" borderId="9" xfId="101" applyNumberFormat="1" applyFont="1" applyFill="1" applyBorder="1" applyAlignment="1" applyProtection="1">
      <alignment horizontal="center" vertical="top"/>
      <protection hidden="1"/>
    </xf>
    <xf numFmtId="0" fontId="42" fillId="0" borderId="16" xfId="0" applyFont="1" applyFill="1" applyBorder="1" applyAlignment="1">
      <alignment horizontal="center" vertical="center"/>
    </xf>
    <xf numFmtId="49" fontId="42" fillId="0" borderId="9" xfId="0" applyNumberFormat="1" applyFont="1" applyFill="1" applyBorder="1" applyAlignment="1">
      <alignment horizontal="center" vertical="center"/>
    </xf>
    <xf numFmtId="4" fontId="44" fillId="0" borderId="16" xfId="101" applyNumberFormat="1" applyFont="1" applyFill="1" applyBorder="1" applyAlignment="1">
      <alignment vertical="center"/>
    </xf>
    <xf numFmtId="165" fontId="42" fillId="0" borderId="16" xfId="101" applyFont="1" applyFill="1" applyBorder="1" applyAlignment="1">
      <alignment horizontal="center" vertical="center"/>
    </xf>
    <xf numFmtId="165" fontId="44" fillId="0" borderId="16" xfId="101" applyNumberFormat="1" applyFont="1" applyFill="1" applyBorder="1" applyAlignment="1">
      <alignment vertical="center"/>
    </xf>
    <xf numFmtId="0" fontId="44" fillId="0" borderId="14" xfId="0" applyFont="1" applyFill="1" applyBorder="1" applyAlignment="1">
      <alignment horizontal="center" vertical="center"/>
    </xf>
    <xf numFmtId="49" fontId="44" fillId="0" borderId="20" xfId="0" applyNumberFormat="1" applyFont="1" applyFill="1" applyBorder="1" applyAlignment="1">
      <alignment horizontal="left" vertical="center" indent="1"/>
    </xf>
    <xf numFmtId="0" fontId="42" fillId="0" borderId="14" xfId="0" applyFont="1" applyFill="1" applyBorder="1" applyAlignment="1">
      <alignment horizontal="center" vertical="center"/>
    </xf>
    <xf numFmtId="4" fontId="44" fillId="0" borderId="14" xfId="101" applyNumberFormat="1" applyFont="1" applyFill="1" applyBorder="1" applyAlignment="1">
      <alignment vertical="center"/>
    </xf>
    <xf numFmtId="165" fontId="44" fillId="0" borderId="14" xfId="101" applyFont="1" applyFill="1" applyBorder="1" applyAlignment="1">
      <alignment horizontal="center" vertical="center"/>
    </xf>
    <xf numFmtId="165" fontId="44" fillId="0" borderId="14" xfId="101" applyNumberFormat="1" applyFont="1" applyFill="1" applyBorder="1" applyAlignment="1">
      <alignment vertical="center"/>
    </xf>
    <xf numFmtId="9" fontId="44" fillId="0" borderId="0" xfId="109" applyFont="1" applyFill="1" applyBorder="1"/>
    <xf numFmtId="165" fontId="44" fillId="0" borderId="0" xfId="0" applyNumberFormat="1" applyFont="1" applyFill="1" applyBorder="1"/>
    <xf numFmtId="49" fontId="44" fillId="0" borderId="14" xfId="0" applyNumberFormat="1" applyFont="1" applyFill="1" applyBorder="1" applyAlignment="1">
      <alignment horizontal="left" vertical="center" indent="1"/>
    </xf>
    <xf numFmtId="165" fontId="44" fillId="0" borderId="14" xfId="101" applyFont="1" applyFill="1" applyBorder="1" applyAlignment="1">
      <alignment vertical="center"/>
    </xf>
    <xf numFmtId="10" fontId="44" fillId="0" borderId="0" xfId="109" applyNumberFormat="1" applyFont="1" applyFill="1" applyBorder="1"/>
    <xf numFmtId="9" fontId="44" fillId="0" borderId="0" xfId="109" applyNumberFormat="1" applyFont="1" applyFill="1" applyBorder="1"/>
    <xf numFmtId="0" fontId="42" fillId="0" borderId="9" xfId="0" applyFont="1" applyFill="1" applyBorder="1" applyAlignment="1">
      <alignment horizontal="center" vertical="center"/>
    </xf>
    <xf numFmtId="4" fontId="42" fillId="0" borderId="9" xfId="101" applyNumberFormat="1" applyFont="1" applyFill="1" applyBorder="1" applyAlignment="1">
      <alignment horizontal="right" vertical="center"/>
    </xf>
    <xf numFmtId="3" fontId="42" fillId="0" borderId="9" xfId="101" applyNumberFormat="1" applyFont="1" applyFill="1" applyBorder="1" applyAlignment="1">
      <alignment horizontal="right" vertical="center"/>
    </xf>
    <xf numFmtId="165" fontId="42" fillId="0" borderId="9" xfId="101" applyNumberFormat="1" applyFont="1" applyFill="1" applyBorder="1" applyAlignment="1">
      <alignment horizontal="right" vertical="center"/>
    </xf>
    <xf numFmtId="165" fontId="42" fillId="0" borderId="9" xfId="0" applyNumberFormat="1" applyFont="1" applyFill="1" applyBorder="1" applyAlignment="1">
      <alignment horizontal="center" vertical="center"/>
    </xf>
    <xf numFmtId="165" fontId="42" fillId="0" borderId="0" xfId="101" applyFont="1" applyFill="1" applyBorder="1"/>
    <xf numFmtId="0" fontId="42" fillId="0" borderId="0" xfId="0" applyFont="1" applyFill="1" applyBorder="1"/>
    <xf numFmtId="4" fontId="44" fillId="0" borderId="14" xfId="0" applyNumberFormat="1" applyFont="1" applyFill="1" applyBorder="1" applyAlignment="1">
      <alignment horizontal="center" vertical="center"/>
    </xf>
    <xf numFmtId="4" fontId="44" fillId="0" borderId="14" xfId="102" applyNumberFormat="1" applyFont="1" applyBorder="1"/>
    <xf numFmtId="4" fontId="44" fillId="0" borderId="14" xfId="0" applyNumberFormat="1" applyFont="1" applyFill="1" applyBorder="1" applyAlignment="1" applyProtection="1">
      <alignment horizontal="center"/>
    </xf>
    <xf numFmtId="168" fontId="44" fillId="0" borderId="14" xfId="0" applyNumberFormat="1" applyFont="1" applyFill="1" applyBorder="1" applyAlignment="1">
      <alignment vertical="center"/>
    </xf>
    <xf numFmtId="4" fontId="44" fillId="0" borderId="24" xfId="0" applyNumberFormat="1" applyFont="1" applyFill="1" applyBorder="1" applyAlignment="1">
      <alignment horizontal="center" vertical="center"/>
    </xf>
    <xf numFmtId="4" fontId="44" fillId="0" borderId="14" xfId="0" applyNumberFormat="1" applyFont="1" applyFill="1" applyBorder="1" applyAlignment="1">
      <alignment vertical="center"/>
    </xf>
    <xf numFmtId="165" fontId="44" fillId="0" borderId="14" xfId="0" applyNumberFormat="1" applyFont="1" applyFill="1" applyBorder="1" applyAlignment="1">
      <alignment vertical="center"/>
    </xf>
    <xf numFmtId="4" fontId="44" fillId="0" borderId="0" xfId="0" applyNumberFormat="1" applyFont="1" applyFill="1" applyBorder="1"/>
    <xf numFmtId="4" fontId="42" fillId="0" borderId="14" xfId="0" applyNumberFormat="1" applyFont="1" applyFill="1" applyBorder="1" applyAlignment="1">
      <alignment vertical="center"/>
    </xf>
    <xf numFmtId="4" fontId="44" fillId="0" borderId="24" xfId="0" applyNumberFormat="1" applyFont="1" applyFill="1" applyBorder="1" applyAlignment="1">
      <alignment horizontal="left" vertical="center"/>
    </xf>
    <xf numFmtId="4" fontId="44" fillId="0" borderId="26" xfId="0" applyNumberFormat="1" applyFont="1" applyFill="1" applyBorder="1" applyAlignment="1">
      <alignment vertical="center"/>
    </xf>
    <xf numFmtId="4" fontId="44" fillId="0" borderId="14" xfId="101" applyNumberFormat="1" applyFont="1" applyFill="1" applyBorder="1" applyAlignment="1">
      <alignment horizontal="right" vertical="center"/>
    </xf>
    <xf numFmtId="4" fontId="44" fillId="0" borderId="14" xfId="101" applyNumberFormat="1" applyFont="1" applyFill="1" applyBorder="1" applyAlignment="1">
      <alignment horizontal="center" vertical="center"/>
    </xf>
    <xf numFmtId="4" fontId="44" fillId="0" borderId="14" xfId="101" applyNumberFormat="1" applyFont="1" applyFill="1" applyBorder="1" applyAlignment="1">
      <alignment horizontal="center"/>
    </xf>
    <xf numFmtId="165" fontId="44" fillId="0" borderId="14" xfId="101" applyNumberFormat="1" applyFont="1" applyFill="1" applyBorder="1"/>
    <xf numFmtId="4" fontId="44" fillId="0" borderId="14" xfId="101" applyNumberFormat="1" applyFont="1" applyFill="1" applyBorder="1"/>
    <xf numFmtId="4" fontId="44" fillId="0" borderId="14" xfId="0" applyNumberFormat="1" applyFont="1" applyFill="1" applyBorder="1"/>
    <xf numFmtId="4" fontId="44" fillId="27" borderId="14" xfId="0" applyNumberFormat="1" applyFont="1" applyFill="1" applyBorder="1" applyAlignment="1">
      <alignment horizontal="left" vertical="center"/>
    </xf>
    <xf numFmtId="4" fontId="44" fillId="0" borderId="14" xfId="0" applyNumberFormat="1" applyFont="1" applyFill="1" applyBorder="1" applyAlignment="1" applyProtection="1">
      <alignment horizontal="right"/>
    </xf>
    <xf numFmtId="4" fontId="44" fillId="0" borderId="14" xfId="0" applyNumberFormat="1" applyFont="1" applyFill="1" applyBorder="1" applyAlignment="1" applyProtection="1"/>
    <xf numFmtId="4" fontId="44" fillId="0" borderId="21" xfId="0" applyNumberFormat="1" applyFont="1" applyFill="1" applyBorder="1" applyAlignment="1">
      <alignment horizontal="center" vertical="center"/>
    </xf>
    <xf numFmtId="4" fontId="44" fillId="0" borderId="21" xfId="102" applyNumberFormat="1" applyFont="1" applyBorder="1"/>
    <xf numFmtId="4" fontId="44" fillId="0" borderId="21" xfId="0" applyNumberFormat="1" applyFont="1" applyFill="1" applyBorder="1" applyAlignment="1" applyProtection="1">
      <alignment horizontal="center"/>
    </xf>
    <xf numFmtId="4" fontId="44" fillId="0" borderId="21" xfId="0" applyNumberFormat="1" applyFont="1" applyFill="1" applyBorder="1" applyAlignment="1" applyProtection="1"/>
    <xf numFmtId="4" fontId="44" fillId="0" borderId="21" xfId="0" applyNumberFormat="1" applyFont="1" applyFill="1" applyBorder="1" applyAlignment="1" applyProtection="1">
      <alignment horizontal="right"/>
    </xf>
    <xf numFmtId="4" fontId="44" fillId="0" borderId="21" xfId="0" applyNumberFormat="1" applyFont="1" applyFill="1" applyBorder="1" applyAlignment="1">
      <alignment vertical="center"/>
    </xf>
    <xf numFmtId="165" fontId="44" fillId="0" borderId="21" xfId="0" applyNumberFormat="1" applyFont="1" applyFill="1" applyBorder="1" applyAlignment="1">
      <alignment vertical="center"/>
    </xf>
    <xf numFmtId="4" fontId="42" fillId="0" borderId="21" xfId="0" applyNumberFormat="1" applyFont="1" applyFill="1" applyBorder="1" applyAlignment="1">
      <alignment vertical="center"/>
    </xf>
    <xf numFmtId="4" fontId="44" fillId="0" borderId="9" xfId="0" applyNumberFormat="1" applyFont="1" applyFill="1" applyBorder="1" applyAlignment="1">
      <alignment horizontal="center" vertical="center"/>
    </xf>
    <xf numFmtId="4" fontId="42" fillId="0" borderId="9" xfId="0" applyNumberFormat="1" applyFont="1" applyFill="1" applyBorder="1" applyAlignment="1">
      <alignment horizontal="center" vertical="center"/>
    </xf>
    <xf numFmtId="4" fontId="42" fillId="0" borderId="9" xfId="0" applyNumberFormat="1" applyFont="1" applyFill="1" applyBorder="1" applyAlignment="1">
      <alignment vertical="center"/>
    </xf>
    <xf numFmtId="4" fontId="44" fillId="0" borderId="9" xfId="0" applyNumberFormat="1" applyFont="1" applyFill="1" applyBorder="1" applyAlignment="1">
      <alignment vertical="center"/>
    </xf>
    <xf numFmtId="165" fontId="44" fillId="0" borderId="9" xfId="0" applyNumberFormat="1" applyFont="1" applyFill="1" applyBorder="1" applyAlignment="1">
      <alignment vertical="center"/>
    </xf>
    <xf numFmtId="0" fontId="42" fillId="0" borderId="9" xfId="0" applyFont="1" applyFill="1" applyBorder="1" applyAlignment="1">
      <alignment horizontal="left" vertical="center"/>
    </xf>
    <xf numFmtId="166" fontId="44" fillId="0" borderId="9" xfId="101" applyNumberFormat="1" applyFont="1" applyFill="1" applyBorder="1" applyAlignment="1">
      <alignment horizontal="center" vertical="center"/>
    </xf>
    <xf numFmtId="2" fontId="44" fillId="0" borderId="9" xfId="0" applyNumberFormat="1" applyFont="1" applyFill="1" applyBorder="1" applyAlignment="1">
      <alignment vertical="center"/>
    </xf>
    <xf numFmtId="0" fontId="42" fillId="0" borderId="9" xfId="0" applyFont="1" applyFill="1" applyBorder="1" applyAlignment="1">
      <alignment vertical="center"/>
    </xf>
    <xf numFmtId="0" fontId="44" fillId="0" borderId="21" xfId="0" applyFont="1" applyFill="1" applyBorder="1" applyAlignment="1">
      <alignment horizontal="center" vertical="center"/>
    </xf>
    <xf numFmtId="0" fontId="44" fillId="0" borderId="21" xfId="0" applyFont="1" applyFill="1" applyBorder="1" applyAlignment="1">
      <alignment horizontal="left" vertical="center"/>
    </xf>
    <xf numFmtId="166" fontId="44" fillId="0" borderId="21" xfId="101" applyNumberFormat="1" applyFont="1" applyFill="1" applyBorder="1" applyAlignment="1">
      <alignment horizontal="center" vertical="center"/>
    </xf>
    <xf numFmtId="2" fontId="44" fillId="0" borderId="21" xfId="0" applyNumberFormat="1" applyFont="1" applyFill="1" applyBorder="1" applyAlignment="1">
      <alignment vertical="center"/>
    </xf>
    <xf numFmtId="0" fontId="42" fillId="0" borderId="21" xfId="0" applyFont="1" applyFill="1" applyBorder="1" applyAlignment="1">
      <alignment vertical="center"/>
    </xf>
    <xf numFmtId="0" fontId="44" fillId="0" borderId="14" xfId="102" applyFont="1" applyBorder="1"/>
    <xf numFmtId="2" fontId="44" fillId="0" borderId="14" xfId="0" applyNumberFormat="1" applyFont="1" applyFill="1" applyBorder="1" applyAlignment="1">
      <alignment vertical="center"/>
    </xf>
    <xf numFmtId="2" fontId="44" fillId="0" borderId="14" xfId="0" applyNumberFormat="1" applyFont="1" applyFill="1" applyBorder="1" applyAlignment="1" applyProtection="1">
      <alignment horizontal="center"/>
    </xf>
    <xf numFmtId="0" fontId="42" fillId="0" borderId="14" xfId="0" applyFont="1" applyFill="1" applyBorder="1" applyAlignment="1">
      <alignment vertical="center"/>
    </xf>
    <xf numFmtId="43" fontId="42" fillId="0" borderId="14" xfId="0" applyNumberFormat="1" applyFont="1" applyFill="1" applyBorder="1" applyAlignment="1">
      <alignment vertical="center"/>
    </xf>
    <xf numFmtId="3" fontId="44" fillId="0" borderId="14" xfId="0" applyNumberFormat="1" applyFont="1" applyFill="1" applyBorder="1" applyAlignment="1">
      <alignment horizontal="center" vertical="center"/>
    </xf>
    <xf numFmtId="2" fontId="44" fillId="0" borderId="14" xfId="0" applyNumberFormat="1" applyFont="1" applyFill="1" applyBorder="1" applyAlignment="1">
      <alignment horizontal="center" vertical="center"/>
    </xf>
    <xf numFmtId="0" fontId="44" fillId="0" borderId="14" xfId="0" applyFont="1" applyFill="1" applyBorder="1" applyAlignment="1">
      <alignment horizontal="left" vertical="center"/>
    </xf>
    <xf numFmtId="166" fontId="44" fillId="0" borderId="14" xfId="101" applyNumberFormat="1" applyFont="1" applyFill="1" applyBorder="1" applyAlignment="1">
      <alignment horizontal="center" vertical="center"/>
    </xf>
    <xf numFmtId="0" fontId="44" fillId="0" borderId="14" xfId="0" quotePrefix="1" applyFont="1" applyFill="1" applyBorder="1" applyAlignment="1">
      <alignment horizontal="center" vertical="center"/>
    </xf>
    <xf numFmtId="0" fontId="44" fillId="0" borderId="21" xfId="0" quotePrefix="1" applyFont="1" applyFill="1" applyBorder="1" applyAlignment="1">
      <alignment horizontal="center" vertical="center"/>
    </xf>
    <xf numFmtId="0" fontId="44" fillId="0" borderId="21" xfId="102" applyFont="1" applyBorder="1"/>
    <xf numFmtId="3" fontId="44" fillId="0" borderId="21" xfId="0" applyNumberFormat="1" applyFont="1" applyFill="1" applyBorder="1" applyAlignment="1">
      <alignment horizontal="center" vertical="center"/>
    </xf>
    <xf numFmtId="2" fontId="44" fillId="0" borderId="21" xfId="0" applyNumberFormat="1" applyFont="1" applyFill="1" applyBorder="1" applyAlignment="1">
      <alignment horizontal="center" vertical="center"/>
    </xf>
    <xf numFmtId="165" fontId="44" fillId="0" borderId="21" xfId="101" applyFont="1" applyFill="1" applyBorder="1" applyAlignment="1">
      <alignment vertical="center"/>
    </xf>
    <xf numFmtId="0" fontId="44" fillId="0" borderId="9" xfId="0" applyFont="1" applyFill="1" applyBorder="1" applyAlignment="1">
      <alignment horizontal="center" vertical="center"/>
    </xf>
    <xf numFmtId="166" fontId="42" fillId="0" borderId="9" xfId="101" applyNumberFormat="1" applyFont="1" applyFill="1" applyBorder="1" applyAlignment="1">
      <alignment vertical="center"/>
    </xf>
    <xf numFmtId="4" fontId="42" fillId="0" borderId="9" xfId="0" applyNumberFormat="1" applyFont="1" applyFill="1" applyBorder="1" applyAlignment="1">
      <alignment horizontal="right" vertical="center"/>
    </xf>
    <xf numFmtId="0" fontId="44" fillId="0" borderId="9" xfId="0" applyFont="1" applyFill="1" applyBorder="1" applyAlignment="1">
      <alignment vertical="center"/>
    </xf>
    <xf numFmtId="0" fontId="42" fillId="0" borderId="16" xfId="0" applyFont="1" applyFill="1" applyBorder="1" applyAlignment="1">
      <alignment horizontal="left" vertical="center"/>
    </xf>
    <xf numFmtId="166" fontId="44" fillId="0" borderId="16" xfId="101" applyNumberFormat="1" applyFont="1" applyFill="1" applyBorder="1" applyAlignment="1">
      <alignment horizontal="center" vertical="center"/>
    </xf>
    <xf numFmtId="2" fontId="44" fillId="0" borderId="16" xfId="0" applyNumberFormat="1" applyFont="1" applyFill="1" applyBorder="1" applyAlignment="1">
      <alignment vertical="center"/>
    </xf>
    <xf numFmtId="4" fontId="44" fillId="0" borderId="16" xfId="0" applyNumberFormat="1" applyFont="1" applyFill="1" applyBorder="1" applyAlignment="1">
      <alignment vertical="center"/>
    </xf>
    <xf numFmtId="165" fontId="44" fillId="0" borderId="16" xfId="0" applyNumberFormat="1" applyFont="1" applyFill="1" applyBorder="1" applyAlignment="1">
      <alignment vertical="center"/>
    </xf>
    <xf numFmtId="0" fontId="44" fillId="0" borderId="16" xfId="0" applyFont="1" applyFill="1" applyBorder="1" applyAlignment="1">
      <alignment vertical="center"/>
    </xf>
    <xf numFmtId="2" fontId="42" fillId="0" borderId="21" xfId="101" applyNumberFormat="1" applyFont="1" applyFill="1" applyBorder="1" applyAlignment="1">
      <alignment vertical="center"/>
    </xf>
    <xf numFmtId="0" fontId="44" fillId="0" borderId="21" xfId="0" applyFont="1" applyFill="1" applyBorder="1" applyAlignment="1">
      <alignment vertical="center"/>
    </xf>
    <xf numFmtId="0" fontId="44" fillId="0" borderId="14" xfId="0" applyFont="1" applyFill="1" applyBorder="1" applyAlignment="1">
      <alignment vertical="center"/>
    </xf>
    <xf numFmtId="0" fontId="44" fillId="27" borderId="14" xfId="0" applyFont="1" applyFill="1" applyBorder="1" applyAlignment="1">
      <alignment vertical="center"/>
    </xf>
    <xf numFmtId="0" fontId="44" fillId="27" borderId="21" xfId="0" applyFont="1" applyFill="1" applyBorder="1" applyAlignment="1">
      <alignment vertical="center"/>
    </xf>
    <xf numFmtId="2" fontId="44" fillId="0" borderId="9" xfId="0" applyNumberFormat="1" applyFont="1" applyFill="1" applyBorder="1"/>
    <xf numFmtId="4" fontId="44" fillId="0" borderId="9" xfId="0" applyNumberFormat="1" applyFont="1" applyFill="1" applyBorder="1"/>
    <xf numFmtId="165" fontId="44" fillId="0" borderId="9" xfId="0" applyNumberFormat="1" applyFont="1" applyFill="1" applyBorder="1"/>
    <xf numFmtId="4" fontId="42" fillId="0" borderId="9" xfId="0" applyNumberFormat="1" applyFont="1" applyFill="1" applyBorder="1"/>
    <xf numFmtId="0" fontId="44" fillId="0" borderId="9" xfId="0" applyFont="1" applyFill="1" applyBorder="1" applyAlignment="1"/>
    <xf numFmtId="0" fontId="42" fillId="0" borderId="25" xfId="0" applyFont="1" applyFill="1" applyBorder="1" applyAlignment="1">
      <alignment horizontal="center" vertical="center"/>
    </xf>
    <xf numFmtId="0" fontId="42" fillId="0" borderId="25" xfId="0" applyFont="1" applyFill="1" applyBorder="1" applyAlignment="1">
      <alignment horizontal="left" vertical="center"/>
    </xf>
    <xf numFmtId="0" fontId="44" fillId="0" borderId="25" xfId="0" applyFont="1" applyFill="1" applyBorder="1" applyAlignment="1">
      <alignment horizontal="center" vertical="center"/>
    </xf>
    <xf numFmtId="165" fontId="44" fillId="0" borderId="25" xfId="101" applyFont="1" applyFill="1" applyBorder="1" applyAlignment="1">
      <alignment vertical="center"/>
    </xf>
    <xf numFmtId="4" fontId="44" fillId="0" borderId="25" xfId="101" applyNumberFormat="1" applyFont="1" applyFill="1" applyBorder="1" applyAlignment="1">
      <alignment horizontal="center"/>
    </xf>
    <xf numFmtId="165" fontId="44" fillId="0" borderId="20" xfId="101" applyFont="1" applyFill="1" applyBorder="1" applyAlignment="1">
      <alignment horizontal="center"/>
    </xf>
    <xf numFmtId="165" fontId="44" fillId="0" borderId="25" xfId="101" applyNumberFormat="1" applyFont="1" applyFill="1" applyBorder="1"/>
    <xf numFmtId="165" fontId="42" fillId="0" borderId="25" xfId="101" applyFont="1" applyFill="1" applyBorder="1"/>
    <xf numFmtId="165" fontId="42" fillId="0" borderId="25" xfId="101" applyFont="1" applyFill="1" applyBorder="1" applyAlignment="1">
      <alignment horizontal="center" vertical="center"/>
    </xf>
    <xf numFmtId="0" fontId="44" fillId="0" borderId="25" xfId="0" applyFont="1" applyFill="1" applyBorder="1"/>
    <xf numFmtId="4" fontId="44" fillId="0" borderId="14" xfId="101" applyNumberFormat="1" applyFont="1" applyFill="1" applyBorder="1" applyAlignment="1">
      <alignment horizontal="right"/>
    </xf>
    <xf numFmtId="165" fontId="44" fillId="0" borderId="14" xfId="101" applyFont="1" applyFill="1" applyBorder="1"/>
    <xf numFmtId="0" fontId="44" fillId="0" borderId="14" xfId="0" applyFont="1" applyFill="1" applyBorder="1"/>
    <xf numFmtId="0" fontId="46" fillId="0" borderId="14" xfId="0" applyFont="1" applyFill="1" applyBorder="1" applyAlignment="1">
      <alignment horizontal="left" vertical="center"/>
    </xf>
    <xf numFmtId="165" fontId="44" fillId="0" borderId="14" xfId="101" applyFont="1" applyFill="1" applyBorder="1" applyAlignment="1">
      <alignment horizontal="center"/>
    </xf>
    <xf numFmtId="165" fontId="42" fillId="0" borderId="14" xfId="101" applyFont="1" applyFill="1" applyBorder="1" applyAlignment="1">
      <alignment horizontal="center" vertical="center"/>
    </xf>
    <xf numFmtId="0" fontId="44" fillId="0" borderId="41" xfId="0" applyFont="1" applyFill="1" applyBorder="1" applyAlignment="1">
      <alignment horizontal="left" vertical="center"/>
    </xf>
    <xf numFmtId="0" fontId="44" fillId="0" borderId="0" xfId="0" applyFont="1" applyFill="1" applyBorder="1" applyAlignment="1">
      <alignment horizontal="center" vertical="center"/>
    </xf>
    <xf numFmtId="165" fontId="44" fillId="0" borderId="21" xfId="101" applyFont="1" applyFill="1" applyBorder="1" applyAlignment="1">
      <alignment horizontal="center"/>
    </xf>
    <xf numFmtId="4" fontId="44" fillId="0" borderId="42" xfId="101" applyNumberFormat="1" applyFont="1" applyFill="1" applyBorder="1" applyAlignment="1">
      <alignment vertical="center"/>
    </xf>
    <xf numFmtId="165" fontId="44" fillId="0" borderId="21" xfId="101" applyNumberFormat="1" applyFont="1" applyFill="1" applyBorder="1" applyAlignment="1">
      <alignment vertical="center"/>
    </xf>
    <xf numFmtId="165" fontId="44" fillId="0" borderId="21" xfId="101" applyFont="1" applyFill="1" applyBorder="1"/>
    <xf numFmtId="165" fontId="42" fillId="0" borderId="21" xfId="101" applyFont="1" applyFill="1" applyBorder="1" applyAlignment="1">
      <alignment horizontal="center" vertical="center"/>
    </xf>
    <xf numFmtId="0" fontId="44" fillId="0" borderId="21" xfId="0" applyFont="1" applyFill="1" applyBorder="1"/>
    <xf numFmtId="0" fontId="42" fillId="0" borderId="19" xfId="0" applyFont="1" applyFill="1" applyBorder="1" applyAlignment="1">
      <alignment horizontal="center" vertical="center"/>
    </xf>
    <xf numFmtId="0" fontId="42" fillId="0" borderId="5" xfId="0" applyFont="1" applyFill="1" applyBorder="1" applyAlignment="1">
      <alignment vertical="center"/>
    </xf>
    <xf numFmtId="4" fontId="42" fillId="0" borderId="18" xfId="0" applyNumberFormat="1" applyFont="1" applyFill="1" applyBorder="1" applyAlignment="1">
      <alignment vertical="center"/>
    </xf>
    <xf numFmtId="43" fontId="42" fillId="0" borderId="9" xfId="0" applyNumberFormat="1" applyFont="1" applyFill="1" applyBorder="1"/>
    <xf numFmtId="165" fontId="42" fillId="0" borderId="9" xfId="0" applyNumberFormat="1" applyFont="1" applyFill="1" applyBorder="1"/>
    <xf numFmtId="165" fontId="42" fillId="0" borderId="9" xfId="101" applyFont="1" applyFill="1" applyBorder="1" applyAlignment="1">
      <alignment horizontal="center"/>
    </xf>
    <xf numFmtId="0" fontId="42" fillId="0" borderId="9" xfId="0" applyFont="1" applyFill="1" applyBorder="1"/>
    <xf numFmtId="0" fontId="42" fillId="0" borderId="25" xfId="0" applyFont="1" applyFill="1" applyBorder="1" applyAlignment="1">
      <alignment vertical="center"/>
    </xf>
    <xf numFmtId="0" fontId="42" fillId="0" borderId="25" xfId="0" applyFont="1" applyFill="1" applyBorder="1" applyAlignment="1">
      <alignment horizontal="right" vertical="center"/>
    </xf>
    <xf numFmtId="4" fontId="42" fillId="0" borderId="25" xfId="0" applyNumberFormat="1" applyFont="1" applyFill="1" applyBorder="1" applyAlignment="1">
      <alignment vertical="center"/>
    </xf>
    <xf numFmtId="165" fontId="44" fillId="0" borderId="25" xfId="101" applyFont="1" applyFill="1" applyBorder="1" applyAlignment="1">
      <alignment horizontal="center"/>
    </xf>
    <xf numFmtId="165" fontId="44" fillId="0" borderId="25" xfId="101" applyNumberFormat="1" applyFont="1" applyFill="1" applyBorder="1" applyAlignment="1">
      <alignment vertical="center"/>
    </xf>
    <xf numFmtId="49" fontId="42" fillId="0" borderId="35" xfId="0" applyNumberFormat="1" applyFont="1" applyFill="1" applyBorder="1" applyAlignment="1">
      <alignment horizontal="center" vertical="center"/>
    </xf>
    <xf numFmtId="49" fontId="42" fillId="0" borderId="30" xfId="0" applyNumberFormat="1" applyFont="1" applyFill="1" applyBorder="1" applyAlignment="1">
      <alignment horizontal="center" vertical="center"/>
    </xf>
    <xf numFmtId="49" fontId="42" fillId="0" borderId="25" xfId="0" applyNumberFormat="1" applyFont="1" applyFill="1" applyBorder="1" applyAlignment="1">
      <alignment horizontal="center" vertical="center"/>
    </xf>
    <xf numFmtId="4" fontId="42" fillId="0" borderId="43" xfId="0" applyNumberFormat="1" applyFont="1" applyFill="1" applyBorder="1" applyAlignment="1">
      <alignment horizontal="center" vertical="center"/>
    </xf>
    <xf numFmtId="43" fontId="42" fillId="0" borderId="25" xfId="101" applyNumberFormat="1" applyFont="1" applyFill="1" applyBorder="1" applyAlignment="1">
      <alignment vertical="center"/>
    </xf>
    <xf numFmtId="165" fontId="42" fillId="0" borderId="25" xfId="101" applyNumberFormat="1" applyFont="1" applyFill="1" applyBorder="1" applyAlignment="1">
      <alignment vertical="center"/>
    </xf>
    <xf numFmtId="165" fontId="42" fillId="0" borderId="25" xfId="101" applyFont="1" applyFill="1" applyBorder="1" applyAlignment="1">
      <alignment vertical="center"/>
    </xf>
    <xf numFmtId="0" fontId="42" fillId="0" borderId="25" xfId="0" applyFont="1" applyFill="1" applyBorder="1"/>
    <xf numFmtId="3" fontId="42" fillId="0" borderId="9" xfId="101" applyNumberFormat="1" applyFont="1" applyFill="1" applyBorder="1" applyAlignment="1">
      <alignment horizontal="center" vertical="center"/>
    </xf>
    <xf numFmtId="165" fontId="42" fillId="0" borderId="9" xfId="101" applyFont="1" applyFill="1" applyBorder="1" applyAlignment="1">
      <alignment vertical="center"/>
    </xf>
    <xf numFmtId="165" fontId="42" fillId="0" borderId="9" xfId="101" applyNumberFormat="1" applyFont="1" applyFill="1" applyBorder="1" applyAlignment="1">
      <alignment horizontal="center"/>
    </xf>
    <xf numFmtId="165" fontId="44" fillId="0" borderId="5" xfId="101" applyFont="1" applyFill="1" applyBorder="1"/>
    <xf numFmtId="0" fontId="44" fillId="0" borderId="5" xfId="0" applyFont="1" applyFill="1" applyBorder="1"/>
    <xf numFmtId="49" fontId="42" fillId="0" borderId="18" xfId="0" applyNumberFormat="1" applyFont="1" applyFill="1" applyBorder="1" applyAlignment="1">
      <alignment horizontal="left" vertical="center"/>
    </xf>
    <xf numFmtId="3" fontId="42" fillId="0" borderId="19" xfId="0" applyNumberFormat="1" applyFont="1" applyFill="1" applyBorder="1" applyAlignment="1">
      <alignment horizontal="center" vertical="center"/>
    </xf>
    <xf numFmtId="4" fontId="44" fillId="0" borderId="9" xfId="101" applyNumberFormat="1" applyFont="1" applyFill="1" applyBorder="1" applyAlignment="1">
      <alignment vertical="center"/>
    </xf>
    <xf numFmtId="165" fontId="44" fillId="0" borderId="9" xfId="101" applyFont="1" applyFill="1" applyBorder="1" applyAlignment="1">
      <alignment vertical="center"/>
    </xf>
    <xf numFmtId="165" fontId="44" fillId="0" borderId="9" xfId="101" applyNumberFormat="1" applyFont="1" applyFill="1" applyBorder="1" applyAlignment="1">
      <alignment vertical="center"/>
    </xf>
    <xf numFmtId="0" fontId="44" fillId="0" borderId="9" xfId="0" applyFont="1" applyFill="1" applyBorder="1"/>
    <xf numFmtId="0" fontId="42" fillId="0" borderId="20" xfId="0" applyFont="1" applyFill="1" applyBorder="1" applyAlignment="1">
      <alignment horizontal="center"/>
    </xf>
    <xf numFmtId="0" fontId="42" fillId="0" borderId="31" xfId="0" applyFont="1" applyFill="1" applyBorder="1"/>
    <xf numFmtId="0" fontId="42" fillId="0" borderId="32" xfId="0" applyFont="1" applyFill="1" applyBorder="1" applyAlignment="1">
      <alignment horizontal="center" vertical="center"/>
    </xf>
    <xf numFmtId="0" fontId="44" fillId="0" borderId="20" xfId="103" applyFont="1" applyFill="1" applyBorder="1" applyAlignment="1">
      <alignment horizontal="center"/>
    </xf>
    <xf numFmtId="4" fontId="44" fillId="0" borderId="20" xfId="101" applyNumberFormat="1" applyFont="1" applyFill="1" applyBorder="1" applyAlignment="1">
      <alignment horizontal="center"/>
    </xf>
    <xf numFmtId="165" fontId="44" fillId="0" borderId="20" xfId="101" applyNumberFormat="1" applyFont="1" applyFill="1" applyBorder="1"/>
    <xf numFmtId="165" fontId="44" fillId="0" borderId="20" xfId="101" applyFont="1" applyFill="1" applyBorder="1"/>
    <xf numFmtId="0" fontId="42" fillId="0" borderId="20" xfId="0" applyFont="1" applyFill="1" applyBorder="1" applyAlignment="1">
      <alignment vertical="center"/>
    </xf>
    <xf numFmtId="0" fontId="44" fillId="0" borderId="20" xfId="0" applyFont="1" applyFill="1" applyBorder="1"/>
    <xf numFmtId="0" fontId="44" fillId="0" borderId="24" xfId="0" applyFont="1" applyFill="1" applyBorder="1"/>
    <xf numFmtId="0" fontId="42" fillId="0" borderId="26" xfId="0" applyFont="1" applyFill="1" applyBorder="1" applyAlignment="1">
      <alignment horizontal="center" vertical="center"/>
    </xf>
    <xf numFmtId="0" fontId="44" fillId="0" borderId="26" xfId="0" applyFont="1" applyFill="1" applyBorder="1" applyAlignment="1">
      <alignment horizontal="center" vertical="center"/>
    </xf>
    <xf numFmtId="0" fontId="44" fillId="0" borderId="26" xfId="0" applyFont="1" applyFill="1" applyBorder="1" applyAlignment="1">
      <alignment vertical="center"/>
    </xf>
    <xf numFmtId="0" fontId="44" fillId="0" borderId="24" xfId="0" applyFont="1" applyFill="1" applyBorder="1" applyAlignment="1">
      <alignment horizontal="left"/>
    </xf>
    <xf numFmtId="0" fontId="44" fillId="0" borderId="26" xfId="0" applyFont="1" applyFill="1" applyBorder="1"/>
    <xf numFmtId="0" fontId="42" fillId="0" borderId="17" xfId="0" applyFont="1" applyFill="1" applyBorder="1" applyAlignment="1">
      <alignment horizontal="center" vertical="center"/>
    </xf>
    <xf numFmtId="49" fontId="44" fillId="0" borderId="33" xfId="103" applyNumberFormat="1" applyFont="1" applyFill="1" applyBorder="1" applyAlignment="1">
      <alignment horizontal="left" indent="1"/>
    </xf>
    <xf numFmtId="166" fontId="44" fillId="0" borderId="34" xfId="101" applyNumberFormat="1" applyFont="1" applyFill="1" applyBorder="1" applyAlignment="1">
      <alignment horizontal="center" vertical="center"/>
    </xf>
    <xf numFmtId="0" fontId="44" fillId="0" borderId="17" xfId="103" applyFont="1" applyFill="1" applyBorder="1" applyAlignment="1">
      <alignment horizontal="center"/>
    </xf>
    <xf numFmtId="4" fontId="44" fillId="0" borderId="17" xfId="101" applyNumberFormat="1" applyFont="1" applyFill="1" applyBorder="1" applyAlignment="1">
      <alignment horizontal="center"/>
    </xf>
    <xf numFmtId="165" fontId="44" fillId="0" borderId="17" xfId="101" applyFont="1" applyFill="1" applyBorder="1" applyAlignment="1">
      <alignment horizontal="center"/>
    </xf>
    <xf numFmtId="165" fontId="44" fillId="0" borderId="17" xfId="101" applyNumberFormat="1" applyFont="1" applyFill="1" applyBorder="1"/>
    <xf numFmtId="165" fontId="44" fillId="0" borderId="17" xfId="101" applyFont="1" applyFill="1" applyBorder="1"/>
    <xf numFmtId="0" fontId="42" fillId="0" borderId="17" xfId="0" applyFont="1" applyFill="1" applyBorder="1" applyAlignment="1">
      <alignment vertical="center"/>
    </xf>
    <xf numFmtId="0" fontId="44" fillId="0" borderId="17" xfId="0" applyFont="1" applyFill="1" applyBorder="1"/>
    <xf numFmtId="49" fontId="42" fillId="0" borderId="19" xfId="0" applyNumberFormat="1" applyFont="1" applyFill="1" applyBorder="1" applyAlignment="1">
      <alignment horizontal="center" vertical="center"/>
    </xf>
    <xf numFmtId="49" fontId="42" fillId="0" borderId="5" xfId="0" applyNumberFormat="1" applyFont="1" applyFill="1" applyBorder="1" applyAlignment="1">
      <alignment vertical="center"/>
    </xf>
    <xf numFmtId="49" fontId="42" fillId="0" borderId="9" xfId="0" applyNumberFormat="1" applyFont="1" applyFill="1" applyBorder="1" applyAlignment="1">
      <alignment vertical="center"/>
    </xf>
    <xf numFmtId="166" fontId="44" fillId="0" borderId="9" xfId="101" applyNumberFormat="1" applyFont="1" applyFill="1" applyBorder="1" applyAlignment="1">
      <alignment vertical="center"/>
    </xf>
    <xf numFmtId="3" fontId="42" fillId="0" borderId="9" xfId="0" applyNumberFormat="1" applyFont="1" applyFill="1" applyBorder="1" applyAlignment="1">
      <alignment vertical="center"/>
    </xf>
    <xf numFmtId="49" fontId="42" fillId="0" borderId="31" xfId="0" applyNumberFormat="1" applyFont="1" applyFill="1" applyBorder="1" applyAlignment="1">
      <alignment vertical="center"/>
    </xf>
    <xf numFmtId="49" fontId="42" fillId="0" borderId="32" xfId="0" applyNumberFormat="1" applyFont="1" applyFill="1" applyBorder="1" applyAlignment="1">
      <alignment vertical="center"/>
    </xf>
    <xf numFmtId="0" fontId="42" fillId="0" borderId="26" xfId="0" applyFont="1" applyFill="1" applyBorder="1" applyAlignment="1">
      <alignment vertical="center"/>
    </xf>
    <xf numFmtId="49" fontId="44" fillId="0" borderId="40" xfId="103" applyNumberFormat="1" applyFont="1" applyFill="1" applyBorder="1" applyAlignment="1">
      <alignment horizontal="left" indent="1"/>
    </xf>
    <xf numFmtId="0" fontId="44" fillId="0" borderId="24" xfId="0" applyFont="1" applyFill="1" applyBorder="1" applyAlignment="1"/>
    <xf numFmtId="0" fontId="42" fillId="0" borderId="26" xfId="0" applyFont="1" applyFill="1" applyBorder="1" applyAlignment="1"/>
    <xf numFmtId="0" fontId="44" fillId="0" borderId="41" xfId="0" applyFont="1" applyFill="1" applyBorder="1" applyAlignment="1">
      <alignment vertical="center"/>
    </xf>
    <xf numFmtId="0" fontId="44" fillId="0" borderId="21" xfId="0" applyFont="1" applyFill="1" applyBorder="1" applyAlignment="1">
      <alignment horizontal="center"/>
    </xf>
    <xf numFmtId="4" fontId="44" fillId="0" borderId="21" xfId="101" applyNumberFormat="1" applyFont="1" applyFill="1" applyBorder="1" applyAlignment="1">
      <alignment horizontal="center"/>
    </xf>
    <xf numFmtId="0" fontId="42" fillId="0" borderId="9" xfId="0" applyFont="1" applyFill="1" applyBorder="1" applyAlignment="1">
      <alignment horizontal="center"/>
    </xf>
    <xf numFmtId="49" fontId="42" fillId="0" borderId="5" xfId="0" applyNumberFormat="1" applyFont="1" applyFill="1" applyBorder="1" applyAlignment="1">
      <alignment horizontal="center" vertical="center"/>
    </xf>
    <xf numFmtId="49" fontId="42" fillId="0" borderId="19" xfId="0" applyNumberFormat="1" applyFont="1" applyFill="1" applyBorder="1" applyAlignment="1">
      <alignment vertical="center"/>
    </xf>
    <xf numFmtId="0" fontId="44" fillId="0" borderId="9" xfId="103" applyFont="1" applyFill="1" applyBorder="1" applyAlignment="1">
      <alignment horizontal="center"/>
    </xf>
    <xf numFmtId="4" fontId="44" fillId="0" borderId="9" xfId="101" applyNumberFormat="1" applyFont="1" applyFill="1" applyBorder="1" applyAlignment="1">
      <alignment horizontal="center"/>
    </xf>
    <xf numFmtId="165" fontId="44" fillId="0" borderId="9" xfId="101" applyFont="1" applyFill="1" applyBorder="1" applyAlignment="1">
      <alignment horizontal="center"/>
    </xf>
    <xf numFmtId="165" fontId="44" fillId="0" borderId="9" xfId="101" applyNumberFormat="1" applyFont="1" applyFill="1" applyBorder="1"/>
    <xf numFmtId="165" fontId="44" fillId="0" borderId="9" xfId="101" applyFont="1" applyFill="1" applyBorder="1"/>
    <xf numFmtId="165" fontId="42" fillId="0" borderId="9" xfId="0" applyNumberFormat="1" applyFont="1" applyFill="1" applyBorder="1" applyAlignment="1">
      <alignment vertical="center"/>
    </xf>
    <xf numFmtId="0" fontId="42" fillId="0" borderId="20" xfId="0" applyFont="1" applyFill="1" applyBorder="1" applyAlignment="1">
      <alignment horizontal="center" vertical="center"/>
    </xf>
    <xf numFmtId="0" fontId="42" fillId="0" borderId="14" xfId="0" applyFont="1" applyFill="1" applyBorder="1" applyAlignment="1">
      <alignment horizontal="center"/>
    </xf>
    <xf numFmtId="0" fontId="44" fillId="0" borderId="26" xfId="0" applyFont="1" applyFill="1" applyBorder="1" applyAlignment="1"/>
    <xf numFmtId="0" fontId="44" fillId="0" borderId="17" xfId="0" applyFont="1" applyFill="1" applyBorder="1" applyAlignment="1">
      <alignment horizontal="center"/>
    </xf>
    <xf numFmtId="0" fontId="44" fillId="0" borderId="33" xfId="0" applyFont="1" applyFill="1" applyBorder="1"/>
    <xf numFmtId="0" fontId="44" fillId="0" borderId="34" xfId="0" applyFont="1" applyFill="1" applyBorder="1" applyAlignment="1">
      <alignment vertical="center"/>
    </xf>
    <xf numFmtId="0" fontId="44" fillId="0" borderId="17" xfId="0" applyFont="1" applyFill="1" applyBorder="1" applyAlignment="1">
      <alignment vertical="center"/>
    </xf>
    <xf numFmtId="3" fontId="44" fillId="0" borderId="9" xfId="0" applyNumberFormat="1" applyFont="1" applyFill="1" applyBorder="1" applyAlignment="1">
      <alignment vertical="center"/>
    </xf>
    <xf numFmtId="0" fontId="44" fillId="0" borderId="32" xfId="0" applyFont="1" applyFill="1" applyBorder="1" applyAlignment="1">
      <alignment vertical="center"/>
    </xf>
    <xf numFmtId="0" fontId="44" fillId="0" borderId="20" xfId="0" applyFont="1" applyFill="1" applyBorder="1" applyAlignment="1">
      <alignment vertical="center"/>
    </xf>
    <xf numFmtId="166" fontId="44" fillId="0" borderId="26" xfId="101" applyNumberFormat="1" applyFont="1" applyFill="1" applyBorder="1" applyAlignment="1">
      <alignment horizontal="center"/>
    </xf>
    <xf numFmtId="3" fontId="44" fillId="0" borderId="26" xfId="101" applyNumberFormat="1" applyFont="1" applyFill="1" applyBorder="1" applyAlignment="1">
      <alignment horizontal="center" vertical="center"/>
    </xf>
    <xf numFmtId="166" fontId="44" fillId="0" borderId="26" xfId="101" applyNumberFormat="1" applyFont="1" applyFill="1" applyBorder="1" applyAlignment="1">
      <alignment horizontal="center" vertical="center"/>
    </xf>
    <xf numFmtId="165" fontId="42" fillId="0" borderId="17" xfId="0" applyNumberFormat="1" applyFont="1" applyFill="1" applyBorder="1" applyAlignment="1">
      <alignment vertical="center"/>
    </xf>
    <xf numFmtId="166" fontId="44" fillId="0" borderId="19" xfId="101" applyNumberFormat="1" applyFont="1" applyFill="1" applyBorder="1" applyAlignment="1">
      <alignment horizontal="center" vertical="center"/>
    </xf>
    <xf numFmtId="170" fontId="42" fillId="0" borderId="14" xfId="0" applyNumberFormat="1" applyFont="1" applyFill="1" applyBorder="1" applyAlignment="1">
      <alignment horizontal="center" vertical="center"/>
    </xf>
    <xf numFmtId="0" fontId="42" fillId="0" borderId="24" xfId="0" applyFont="1" applyFill="1" applyBorder="1"/>
    <xf numFmtId="0" fontId="44" fillId="0" borderId="14" xfId="103" applyFont="1" applyFill="1" applyBorder="1" applyAlignment="1">
      <alignment horizontal="center"/>
    </xf>
    <xf numFmtId="165" fontId="44" fillId="0" borderId="33" xfId="101" applyFont="1" applyFill="1" applyBorder="1"/>
    <xf numFmtId="2" fontId="44" fillId="0" borderId="14" xfId="0" applyNumberFormat="1" applyFont="1" applyFill="1" applyBorder="1" applyAlignment="1">
      <alignment horizontal="right"/>
    </xf>
    <xf numFmtId="0" fontId="44" fillId="0" borderId="17" xfId="0" applyFont="1" applyFill="1" applyBorder="1" applyAlignment="1">
      <alignment horizontal="center" vertical="center"/>
    </xf>
    <xf numFmtId="2" fontId="44" fillId="0" borderId="17" xfId="0" applyNumberFormat="1" applyFont="1" applyFill="1" applyBorder="1" applyAlignment="1">
      <alignment horizontal="right"/>
    </xf>
    <xf numFmtId="2" fontId="44" fillId="0" borderId="14" xfId="0" applyNumberFormat="1" applyFont="1" applyFill="1" applyBorder="1" applyAlignment="1" applyProtection="1">
      <alignment horizontal="right"/>
    </xf>
    <xf numFmtId="0" fontId="44" fillId="0" borderId="0" xfId="0" applyFont="1" applyFill="1" applyBorder="1" applyAlignment="1">
      <alignment vertical="center"/>
    </xf>
    <xf numFmtId="0" fontId="44" fillId="0" borderId="21" xfId="103" applyFont="1" applyFill="1" applyBorder="1" applyAlignment="1">
      <alignment horizontal="center"/>
    </xf>
    <xf numFmtId="4" fontId="44" fillId="0" borderId="21" xfId="101" applyNumberFormat="1" applyFont="1" applyFill="1" applyBorder="1" applyAlignment="1">
      <alignment vertical="center"/>
    </xf>
    <xf numFmtId="3" fontId="44" fillId="0" borderId="9" xfId="101" applyNumberFormat="1" applyFont="1" applyFill="1" applyBorder="1" applyAlignment="1">
      <alignment horizontal="center" vertical="center"/>
    </xf>
    <xf numFmtId="165" fontId="42" fillId="0" borderId="9" xfId="101" applyFont="1" applyFill="1" applyBorder="1"/>
    <xf numFmtId="0" fontId="42" fillId="0" borderId="20" xfId="0" applyFont="1" applyFill="1" applyBorder="1" applyAlignment="1">
      <alignment horizontal="left" vertical="center"/>
    </xf>
    <xf numFmtId="0" fontId="44" fillId="0" borderId="20" xfId="0" applyFont="1" applyFill="1" applyBorder="1" applyAlignment="1">
      <alignment horizontal="left" vertical="center"/>
    </xf>
    <xf numFmtId="0" fontId="44" fillId="0" borderId="20" xfId="0" applyFont="1" applyFill="1" applyBorder="1" applyAlignment="1">
      <alignment horizontal="center" vertical="center"/>
    </xf>
    <xf numFmtId="4" fontId="44" fillId="0" borderId="20" xfId="101" applyNumberFormat="1" applyFont="1" applyFill="1" applyBorder="1" applyAlignment="1">
      <alignment vertical="center"/>
    </xf>
    <xf numFmtId="165" fontId="44" fillId="0" borderId="20" xfId="101" applyNumberFormat="1" applyFont="1" applyFill="1" applyBorder="1" applyAlignment="1">
      <alignment vertical="center"/>
    </xf>
    <xf numFmtId="43" fontId="44" fillId="0" borderId="20" xfId="0" applyNumberFormat="1" applyFont="1" applyFill="1" applyBorder="1" applyAlignment="1">
      <alignment vertical="center"/>
    </xf>
    <xf numFmtId="3" fontId="44" fillId="0" borderId="20" xfId="0" applyNumberFormat="1" applyFont="1" applyFill="1" applyBorder="1" applyAlignment="1">
      <alignment vertical="center"/>
    </xf>
    <xf numFmtId="0" fontId="44" fillId="0" borderId="14" xfId="0" applyFont="1" applyFill="1" applyBorder="1" applyAlignment="1">
      <alignment horizontal="left" vertical="center" indent="2"/>
    </xf>
    <xf numFmtId="2" fontId="44" fillId="0" borderId="14" xfId="79" applyNumberFormat="1" applyFont="1" applyFill="1" applyBorder="1" applyAlignment="1">
      <alignment horizontal="right"/>
    </xf>
    <xf numFmtId="43" fontId="44" fillId="0" borderId="14" xfId="0" applyNumberFormat="1" applyFont="1" applyFill="1" applyBorder="1" applyAlignment="1">
      <alignment vertical="center"/>
    </xf>
    <xf numFmtId="3" fontId="42" fillId="0" borderId="14" xfId="0" applyNumberFormat="1" applyFont="1" applyFill="1" applyBorder="1" applyAlignment="1">
      <alignment vertical="center"/>
    </xf>
    <xf numFmtId="2" fontId="44" fillId="0" borderId="14" xfId="0" applyNumberFormat="1" applyFont="1" applyFill="1" applyBorder="1" applyAlignment="1">
      <alignment horizontal="right" vertical="center"/>
    </xf>
    <xf numFmtId="0" fontId="42" fillId="0" borderId="14" xfId="0" applyFont="1" applyFill="1" applyBorder="1" applyAlignment="1">
      <alignment horizontal="left" vertical="center"/>
    </xf>
    <xf numFmtId="2" fontId="42" fillId="0" borderId="14" xfId="0" applyNumberFormat="1" applyFont="1" applyFill="1" applyBorder="1" applyAlignment="1">
      <alignment horizontal="right" vertical="center"/>
    </xf>
    <xf numFmtId="4" fontId="42" fillId="0" borderId="14" xfId="101" applyNumberFormat="1" applyFont="1" applyFill="1" applyBorder="1" applyAlignment="1">
      <alignment vertical="center"/>
    </xf>
    <xf numFmtId="165" fontId="42" fillId="0" borderId="14" xfId="101" applyNumberFormat="1" applyFont="1" applyFill="1" applyBorder="1" applyAlignment="1">
      <alignment vertical="center"/>
    </xf>
    <xf numFmtId="3" fontId="44" fillId="0" borderId="14" xfId="0" applyNumberFormat="1" applyFont="1" applyFill="1" applyBorder="1" applyAlignment="1">
      <alignment vertical="center"/>
    </xf>
    <xf numFmtId="0" fontId="42" fillId="0" borderId="21" xfId="0" applyFont="1" applyFill="1" applyBorder="1" applyAlignment="1">
      <alignment horizontal="center" vertical="center"/>
    </xf>
    <xf numFmtId="0" fontId="42" fillId="0" borderId="21" xfId="0" applyFont="1" applyFill="1" applyBorder="1" applyAlignment="1">
      <alignment horizontal="left" vertical="center"/>
    </xf>
    <xf numFmtId="2" fontId="44" fillId="0" borderId="21" xfId="0" applyNumberFormat="1" applyFont="1" applyFill="1" applyBorder="1" applyAlignment="1">
      <alignment horizontal="right" vertical="center"/>
    </xf>
    <xf numFmtId="43" fontId="44" fillId="0" borderId="21" xfId="0" applyNumberFormat="1" applyFont="1" applyFill="1" applyBorder="1" applyAlignment="1">
      <alignment vertical="center"/>
    </xf>
    <xf numFmtId="3" fontId="44" fillId="0" borderId="21" xfId="0" applyNumberFormat="1" applyFont="1" applyFill="1" applyBorder="1" applyAlignment="1">
      <alignment vertical="center"/>
    </xf>
    <xf numFmtId="4" fontId="42" fillId="0" borderId="9" xfId="101" applyNumberFormat="1" applyFont="1" applyFill="1" applyBorder="1" applyAlignment="1">
      <alignment vertical="center"/>
    </xf>
    <xf numFmtId="165" fontId="42" fillId="0" borderId="9" xfId="101" applyNumberFormat="1" applyFont="1" applyFill="1" applyBorder="1" applyAlignment="1">
      <alignment vertical="center"/>
    </xf>
    <xf numFmtId="0" fontId="44" fillId="0" borderId="0" xfId="0" applyFont="1" applyFill="1"/>
    <xf numFmtId="49" fontId="44" fillId="0" borderId="0" xfId="0" applyNumberFormat="1" applyFont="1" applyFill="1"/>
    <xf numFmtId="4" fontId="44" fillId="0" borderId="0" xfId="101" applyNumberFormat="1" applyFont="1" applyFill="1"/>
    <xf numFmtId="165" fontId="44" fillId="0" borderId="0" xfId="101" applyFont="1" applyFill="1"/>
    <xf numFmtId="165" fontId="44" fillId="0" borderId="0" xfId="101" applyNumberFormat="1" applyFont="1" applyFill="1"/>
    <xf numFmtId="0" fontId="45" fillId="0" borderId="0" xfId="0" applyFont="1" applyFill="1" applyBorder="1" applyAlignment="1" applyProtection="1">
      <alignment horizontal="center"/>
    </xf>
    <xf numFmtId="4" fontId="44" fillId="0" borderId="16" xfId="101" applyNumberFormat="1" applyFont="1" applyFill="1" applyBorder="1" applyAlignment="1">
      <alignment horizontal="right" vertical="center"/>
    </xf>
    <xf numFmtId="165" fontId="44" fillId="0" borderId="16" xfId="101" applyNumberFormat="1" applyFont="1" applyFill="1" applyBorder="1" applyAlignment="1">
      <alignment horizontal="right" vertical="center"/>
    </xf>
    <xf numFmtId="49" fontId="44" fillId="0" borderId="14" xfId="104" applyNumberFormat="1" applyFont="1" applyBorder="1" applyAlignment="1"/>
    <xf numFmtId="3" fontId="44" fillId="0" borderId="14" xfId="101" applyNumberFormat="1" applyFont="1" applyFill="1" applyBorder="1" applyAlignment="1">
      <alignment horizontal="center" vertical="center"/>
    </xf>
    <xf numFmtId="165" fontId="44" fillId="0" borderId="14" xfId="101" applyNumberFormat="1" applyFont="1" applyFill="1" applyBorder="1" applyAlignment="1">
      <alignment horizontal="right" vertical="center"/>
    </xf>
    <xf numFmtId="3" fontId="44" fillId="0" borderId="32" xfId="0" applyNumberFormat="1" applyFont="1" applyFill="1" applyBorder="1" applyAlignment="1">
      <alignment horizontal="right" vertical="center"/>
    </xf>
    <xf numFmtId="4" fontId="44" fillId="0" borderId="20" xfId="101" applyNumberFormat="1" applyFont="1" applyFill="1" applyBorder="1" applyAlignment="1">
      <alignment horizontal="right" vertical="center"/>
    </xf>
    <xf numFmtId="165" fontId="44" fillId="0" borderId="20" xfId="101" applyNumberFormat="1" applyFont="1" applyFill="1" applyBorder="1" applyAlignment="1">
      <alignment horizontal="right" vertical="center"/>
    </xf>
    <xf numFmtId="49" fontId="42" fillId="0" borderId="44" xfId="0" applyNumberFormat="1" applyFont="1" applyFill="1" applyBorder="1" applyAlignment="1">
      <alignment horizontal="center" vertical="center"/>
    </xf>
    <xf numFmtId="4" fontId="44" fillId="0" borderId="14" xfId="101" applyNumberFormat="1" applyFont="1" applyFill="1" applyBorder="1" applyAlignment="1" applyProtection="1">
      <alignment horizontal="right" vertical="center"/>
      <protection locked="0"/>
    </xf>
    <xf numFmtId="49" fontId="44" fillId="0" borderId="27" xfId="101" applyNumberFormat="1" applyFont="1" applyFill="1" applyBorder="1" applyAlignment="1">
      <alignment horizontal="center" vertical="center"/>
    </xf>
    <xf numFmtId="166" fontId="44" fillId="0" borderId="26" xfId="101" applyNumberFormat="1" applyFont="1" applyFill="1" applyBorder="1" applyAlignment="1">
      <alignment horizontal="right" vertical="center"/>
    </xf>
    <xf numFmtId="3" fontId="44" fillId="0" borderId="26" xfId="101" applyNumberFormat="1" applyFont="1" applyFill="1" applyBorder="1" applyAlignment="1">
      <alignment horizontal="right" vertical="center"/>
    </xf>
    <xf numFmtId="166" fontId="44" fillId="0" borderId="37" xfId="101" applyNumberFormat="1" applyFont="1" applyFill="1" applyBorder="1" applyAlignment="1">
      <alignment horizontal="center" vertical="center"/>
    </xf>
    <xf numFmtId="166" fontId="42" fillId="0" borderId="19" xfId="101" applyNumberFormat="1" applyFont="1" applyFill="1" applyBorder="1" applyAlignment="1">
      <alignment horizontal="center" vertical="center"/>
    </xf>
    <xf numFmtId="4" fontId="42" fillId="0" borderId="14" xfId="101" applyNumberFormat="1" applyFont="1" applyFill="1" applyBorder="1" applyAlignment="1">
      <alignment horizontal="right" vertical="center"/>
    </xf>
    <xf numFmtId="3" fontId="44" fillId="0" borderId="20" xfId="0" applyNumberFormat="1" applyFont="1" applyFill="1" applyBorder="1" applyAlignment="1">
      <alignment horizontal="center" vertical="center"/>
    </xf>
    <xf numFmtId="166" fontId="44" fillId="0" borderId="32" xfId="101" applyNumberFormat="1" applyFont="1" applyFill="1" applyBorder="1" applyAlignment="1">
      <alignment horizontal="center" vertical="center"/>
    </xf>
    <xf numFmtId="165" fontId="44" fillId="0" borderId="14" xfId="101" applyNumberFormat="1" applyFont="1" applyFill="1" applyBorder="1" applyAlignment="1" applyProtection="1">
      <alignment vertical="center"/>
      <protection locked="0"/>
    </xf>
    <xf numFmtId="49" fontId="42" fillId="0" borderId="27" xfId="101" applyNumberFormat="1" applyFont="1" applyFill="1" applyBorder="1" applyAlignment="1">
      <alignment horizontal="center" vertical="center"/>
    </xf>
    <xf numFmtId="3" fontId="44" fillId="0" borderId="34" xfId="101" applyNumberFormat="1" applyFont="1" applyFill="1" applyBorder="1" applyAlignment="1">
      <alignment horizontal="right" vertical="center"/>
    </xf>
    <xf numFmtId="165" fontId="44" fillId="0" borderId="17" xfId="101" applyNumberFormat="1" applyFont="1" applyFill="1" applyBorder="1" applyAlignment="1">
      <alignment horizontal="right" vertical="center"/>
    </xf>
    <xf numFmtId="3" fontId="44" fillId="0" borderId="37" xfId="101" applyNumberFormat="1" applyFont="1" applyFill="1" applyBorder="1" applyAlignment="1">
      <alignment horizontal="right" vertical="center"/>
    </xf>
    <xf numFmtId="3" fontId="42" fillId="0" borderId="9" xfId="0" applyNumberFormat="1" applyFont="1" applyFill="1" applyBorder="1" applyAlignment="1">
      <alignment horizontal="center" vertical="center"/>
    </xf>
    <xf numFmtId="165" fontId="42" fillId="0" borderId="9" xfId="101" applyFont="1" applyFill="1" applyBorder="1" applyAlignment="1">
      <alignment horizontal="right" vertical="center"/>
    </xf>
    <xf numFmtId="3" fontId="42" fillId="0" borderId="9" xfId="0" applyNumberFormat="1" applyFont="1" applyFill="1" applyBorder="1" applyAlignment="1">
      <alignment horizontal="right" vertical="center"/>
    </xf>
    <xf numFmtId="4" fontId="44" fillId="0" borderId="9" xfId="101" applyNumberFormat="1" applyFont="1" applyFill="1" applyBorder="1" applyAlignment="1">
      <alignment horizontal="right" vertical="center"/>
    </xf>
    <xf numFmtId="49" fontId="42" fillId="0" borderId="20" xfId="0" applyNumberFormat="1" applyFont="1" applyFill="1" applyBorder="1" applyAlignment="1">
      <alignment horizontal="left" vertical="center"/>
    </xf>
    <xf numFmtId="49" fontId="44" fillId="0" borderId="14" xfId="0" applyNumberFormat="1" applyFont="1" applyFill="1" applyBorder="1" applyAlignment="1">
      <alignment horizontal="left" vertical="center"/>
    </xf>
    <xf numFmtId="49" fontId="44" fillId="0" borderId="44" xfId="0" applyNumberFormat="1" applyFont="1" applyFill="1" applyBorder="1" applyAlignment="1">
      <alignment horizontal="center" vertical="center"/>
    </xf>
    <xf numFmtId="0" fontId="42" fillId="0" borderId="15" xfId="0" applyFont="1" applyFill="1" applyBorder="1" applyAlignment="1">
      <alignment horizontal="center" vertical="center"/>
    </xf>
    <xf numFmtId="0" fontId="44" fillId="0" borderId="0" xfId="0" applyFont="1" applyFill="1" applyAlignment="1">
      <alignment horizontal="center"/>
    </xf>
    <xf numFmtId="49" fontId="45" fillId="0" borderId="0" xfId="0" applyNumberFormat="1" applyFont="1" applyFill="1" applyBorder="1" applyProtection="1"/>
    <xf numFmtId="49" fontId="45" fillId="0" borderId="0" xfId="0" applyNumberFormat="1" applyFont="1" applyFill="1" applyBorder="1" applyProtection="1">
      <protection locked="0"/>
    </xf>
    <xf numFmtId="4" fontId="42" fillId="0" borderId="9" xfId="101" applyNumberFormat="1" applyFont="1" applyFill="1" applyBorder="1" applyAlignment="1" applyProtection="1">
      <alignment horizontal="right" vertical="top"/>
      <protection hidden="1"/>
    </xf>
    <xf numFmtId="3" fontId="44" fillId="0" borderId="9" xfId="101" applyNumberFormat="1" applyFont="1" applyFill="1" applyBorder="1" applyAlignment="1">
      <alignment horizontal="right" vertical="center"/>
    </xf>
    <xf numFmtId="165" fontId="44" fillId="0" borderId="9" xfId="101" applyNumberFormat="1" applyFont="1" applyFill="1" applyBorder="1" applyAlignment="1">
      <alignment horizontal="right" vertical="center"/>
    </xf>
    <xf numFmtId="49" fontId="44" fillId="0" borderId="18" xfId="0" applyNumberFormat="1" applyFont="1" applyFill="1" applyBorder="1"/>
    <xf numFmtId="49" fontId="42" fillId="0" borderId="27" xfId="0" applyNumberFormat="1" applyFont="1" applyFill="1" applyBorder="1" applyAlignment="1">
      <alignment vertical="center"/>
    </xf>
    <xf numFmtId="49" fontId="44" fillId="0" borderId="14" xfId="104" applyNumberFormat="1" applyFont="1" applyBorder="1" applyAlignment="1">
      <alignment horizontal="left"/>
    </xf>
    <xf numFmtId="4" fontId="44" fillId="0" borderId="17" xfId="101" applyNumberFormat="1" applyFont="1" applyFill="1" applyBorder="1" applyAlignment="1">
      <alignment horizontal="right" vertical="center"/>
    </xf>
    <xf numFmtId="49" fontId="44" fillId="0" borderId="44" xfId="101" applyNumberFormat="1" applyFont="1" applyFill="1" applyBorder="1" applyAlignment="1">
      <alignment vertical="center"/>
    </xf>
    <xf numFmtId="49" fontId="44" fillId="0" borderId="18" xfId="101" applyNumberFormat="1" applyFont="1" applyFill="1" applyBorder="1" applyAlignment="1">
      <alignment horizontal="center" vertical="center"/>
    </xf>
    <xf numFmtId="3" fontId="44" fillId="0" borderId="32" xfId="101" applyNumberFormat="1" applyFont="1" applyFill="1" applyBorder="1" applyAlignment="1">
      <alignment horizontal="right" vertical="center"/>
    </xf>
    <xf numFmtId="0" fontId="44" fillId="0" borderId="29" xfId="0" applyFont="1" applyFill="1" applyBorder="1" applyAlignment="1">
      <alignment horizontal="center" vertical="center"/>
    </xf>
    <xf numFmtId="165" fontId="44" fillId="0" borderId="29" xfId="101" applyNumberFormat="1" applyFont="1" applyFill="1" applyBorder="1" applyAlignment="1">
      <alignment horizontal="right" vertical="center"/>
    </xf>
    <xf numFmtId="4" fontId="44" fillId="0" borderId="20" xfId="101" applyNumberFormat="1" applyFont="1" applyFill="1" applyBorder="1" applyAlignment="1" applyProtection="1">
      <alignment horizontal="right" vertical="center"/>
      <protection locked="0"/>
    </xf>
    <xf numFmtId="165" fontId="44" fillId="0" borderId="20" xfId="101" applyNumberFormat="1" applyFont="1" applyFill="1" applyBorder="1" applyAlignment="1" applyProtection="1">
      <alignment vertical="center"/>
      <protection locked="0"/>
    </xf>
    <xf numFmtId="49" fontId="44" fillId="0" borderId="14" xfId="0" applyNumberFormat="1" applyFont="1" applyFill="1" applyBorder="1" applyAlignment="1">
      <alignment vertical="center"/>
    </xf>
    <xf numFmtId="165" fontId="44" fillId="0" borderId="14" xfId="101" applyNumberFormat="1" applyFont="1" applyFill="1" applyBorder="1" applyAlignment="1">
      <alignment horizontal="center" vertical="center"/>
    </xf>
    <xf numFmtId="3" fontId="44" fillId="0" borderId="41" xfId="101" applyNumberFormat="1" applyFont="1" applyFill="1" applyBorder="1" applyAlignment="1">
      <alignment horizontal="right" vertical="center"/>
    </xf>
    <xf numFmtId="4" fontId="44" fillId="0" borderId="21" xfId="101" applyNumberFormat="1" applyFont="1" applyFill="1" applyBorder="1" applyAlignment="1">
      <alignment horizontal="right" vertical="center"/>
    </xf>
    <xf numFmtId="165" fontId="44" fillId="0" borderId="21" xfId="101" applyNumberFormat="1" applyFont="1" applyFill="1" applyBorder="1" applyAlignment="1">
      <alignment horizontal="right" vertical="center"/>
    </xf>
    <xf numFmtId="49" fontId="42" fillId="0" borderId="14" xfId="0" applyNumberFormat="1" applyFont="1" applyFill="1" applyBorder="1" applyAlignment="1">
      <alignment horizontal="left" vertical="center"/>
    </xf>
    <xf numFmtId="49" fontId="44" fillId="0" borderId="27" xfId="101" applyNumberFormat="1" applyFont="1" applyFill="1" applyBorder="1" applyAlignment="1">
      <alignment vertical="center"/>
    </xf>
    <xf numFmtId="49" fontId="44" fillId="0" borderId="21" xfId="0" applyNumberFormat="1" applyFont="1" applyFill="1" applyBorder="1" applyAlignment="1">
      <alignment horizontal="left" vertical="center"/>
    </xf>
    <xf numFmtId="49" fontId="44" fillId="0" borderId="20" xfId="0" applyNumberFormat="1" applyFont="1" applyFill="1" applyBorder="1" applyAlignment="1">
      <alignment horizontal="left" vertical="center"/>
    </xf>
    <xf numFmtId="4" fontId="44" fillId="0" borderId="14" xfId="0" applyNumberFormat="1" applyFont="1" applyFill="1" applyBorder="1" applyAlignment="1">
      <alignment horizontal="right" vertical="center"/>
    </xf>
    <xf numFmtId="49" fontId="44" fillId="0" borderId="17" xfId="0" applyNumberFormat="1" applyFont="1" applyFill="1" applyBorder="1" applyAlignment="1">
      <alignment horizontal="left" vertical="center"/>
    </xf>
    <xf numFmtId="165" fontId="44" fillId="0" borderId="34" xfId="101" applyNumberFormat="1" applyFont="1" applyFill="1" applyBorder="1" applyAlignment="1">
      <alignment horizontal="center" vertical="center"/>
    </xf>
    <xf numFmtId="165" fontId="42" fillId="0" borderId="9" xfId="101" applyFont="1" applyFill="1" applyBorder="1" applyAlignment="1">
      <alignment horizontal="center" vertical="center"/>
    </xf>
    <xf numFmtId="49" fontId="44" fillId="0" borderId="18" xfId="0" applyNumberFormat="1" applyFont="1" applyFill="1" applyBorder="1" applyAlignment="1">
      <alignment horizontal="center" vertical="center"/>
    </xf>
    <xf numFmtId="165" fontId="44" fillId="0" borderId="20" xfId="101" applyFont="1" applyFill="1" applyBorder="1" applyAlignment="1">
      <alignment horizontal="center" vertical="center"/>
    </xf>
    <xf numFmtId="165" fontId="44" fillId="0" borderId="26" xfId="101" applyNumberFormat="1" applyFont="1" applyFill="1" applyBorder="1" applyAlignment="1">
      <alignment horizontal="center" vertical="center"/>
    </xf>
    <xf numFmtId="165" fontId="44" fillId="0" borderId="17" xfId="101" applyFont="1" applyFill="1" applyBorder="1" applyAlignment="1">
      <alignment horizontal="center" vertical="center"/>
    </xf>
    <xf numFmtId="49" fontId="42" fillId="0" borderId="16" xfId="0" applyNumberFormat="1" applyFont="1" applyFill="1" applyBorder="1" applyAlignment="1">
      <alignment horizontal="left" vertical="center"/>
    </xf>
    <xf numFmtId="0" fontId="44" fillId="0" borderId="16" xfId="0" applyFont="1" applyFill="1" applyBorder="1" applyAlignment="1">
      <alignment horizontal="center" vertical="center"/>
    </xf>
    <xf numFmtId="165" fontId="44" fillId="0" borderId="16" xfId="101" applyFont="1" applyFill="1" applyBorder="1" applyAlignment="1">
      <alignment horizontal="center" vertical="center"/>
    </xf>
    <xf numFmtId="165" fontId="44" fillId="0" borderId="20" xfId="101" applyNumberFormat="1" applyFont="1" applyFill="1" applyBorder="1" applyAlignment="1">
      <alignment horizontal="center" vertical="center"/>
    </xf>
    <xf numFmtId="49" fontId="44" fillId="0" borderId="9" xfId="101" applyNumberFormat="1" applyFont="1" applyFill="1" applyBorder="1" applyAlignment="1">
      <alignment horizontal="center" vertical="center"/>
    </xf>
    <xf numFmtId="166" fontId="44" fillId="0" borderId="41" xfId="101" applyNumberFormat="1" applyFont="1" applyFill="1" applyBorder="1" applyAlignment="1">
      <alignment horizontal="center" vertical="center"/>
    </xf>
    <xf numFmtId="49" fontId="44" fillId="0" borderId="42" xfId="101" applyNumberFormat="1" applyFont="1" applyFill="1" applyBorder="1" applyAlignment="1">
      <alignment horizontal="center" vertical="center"/>
    </xf>
    <xf numFmtId="165" fontId="42" fillId="0" borderId="9" xfId="101" applyNumberFormat="1" applyFont="1" applyFill="1" applyBorder="1" applyAlignment="1" applyProtection="1">
      <alignment vertical="center"/>
      <protection locked="0"/>
    </xf>
    <xf numFmtId="49" fontId="44" fillId="0" borderId="14" xfId="101" applyNumberFormat="1" applyFont="1" applyFill="1" applyBorder="1" applyAlignment="1">
      <alignment horizontal="center" vertical="center"/>
    </xf>
    <xf numFmtId="166" fontId="42" fillId="0" borderId="9" xfId="101" applyNumberFormat="1" applyFont="1" applyFill="1" applyBorder="1" applyAlignment="1">
      <alignment horizontal="center" vertical="center"/>
    </xf>
    <xf numFmtId="165" fontId="42" fillId="0" borderId="9" xfId="101" applyNumberFormat="1" applyFont="1" applyFill="1" applyBorder="1" applyAlignment="1">
      <alignment horizontal="center" vertical="center"/>
    </xf>
    <xf numFmtId="49" fontId="42" fillId="0" borderId="9" xfId="101" applyNumberFormat="1" applyFont="1" applyFill="1" applyBorder="1" applyAlignment="1">
      <alignment horizontal="center" vertical="center"/>
    </xf>
    <xf numFmtId="49" fontId="44" fillId="0" borderId="14" xfId="101" applyNumberFormat="1" applyFont="1" applyFill="1" applyBorder="1" applyAlignment="1">
      <alignment vertical="center"/>
    </xf>
    <xf numFmtId="165" fontId="44" fillId="0" borderId="16" xfId="101" applyFont="1" applyFill="1" applyBorder="1" applyAlignment="1">
      <alignment vertical="center"/>
    </xf>
    <xf numFmtId="49" fontId="44" fillId="0" borderId="16" xfId="101" applyNumberFormat="1" applyFont="1" applyFill="1" applyBorder="1" applyAlignment="1">
      <alignment vertical="center"/>
    </xf>
    <xf numFmtId="166" fontId="44" fillId="0" borderId="20" xfId="101" applyNumberFormat="1" applyFont="1" applyFill="1" applyBorder="1" applyAlignment="1">
      <alignment horizontal="center" vertical="center"/>
    </xf>
    <xf numFmtId="165" fontId="44" fillId="0" borderId="20" xfId="101" applyFont="1" applyFill="1" applyBorder="1" applyAlignment="1">
      <alignment vertical="center"/>
    </xf>
    <xf numFmtId="49" fontId="44" fillId="0" borderId="20" xfId="101" applyNumberFormat="1" applyFont="1" applyFill="1" applyBorder="1" applyAlignment="1">
      <alignment vertical="center"/>
    </xf>
    <xf numFmtId="49" fontId="44" fillId="0" borderId="29" xfId="0" applyNumberFormat="1" applyFont="1" applyFill="1" applyBorder="1" applyAlignment="1">
      <alignment horizontal="left" vertical="center"/>
    </xf>
    <xf numFmtId="165" fontId="44" fillId="0" borderId="29" xfId="101" applyNumberFormat="1" applyFont="1" applyFill="1" applyBorder="1" applyAlignment="1">
      <alignment horizontal="center" vertical="center"/>
    </xf>
    <xf numFmtId="165" fontId="42" fillId="0" borderId="15" xfId="101" applyFont="1" applyFill="1" applyBorder="1" applyAlignment="1">
      <alignment vertical="center"/>
    </xf>
    <xf numFmtId="49" fontId="44" fillId="0" borderId="17" xfId="0" applyNumberFormat="1" applyFont="1" applyFill="1" applyBorder="1" applyAlignment="1">
      <alignment horizontal="left" vertical="center" indent="2"/>
    </xf>
    <xf numFmtId="166" fontId="44" fillId="0" borderId="17" xfId="101" applyNumberFormat="1" applyFont="1" applyFill="1" applyBorder="1" applyAlignment="1">
      <alignment horizontal="center" vertical="center"/>
    </xf>
    <xf numFmtId="165" fontId="44" fillId="0" borderId="17" xfId="101" applyFont="1" applyFill="1" applyBorder="1" applyAlignment="1">
      <alignment vertical="center"/>
    </xf>
    <xf numFmtId="165" fontId="44" fillId="0" borderId="17" xfId="101" applyNumberFormat="1" applyFont="1" applyFill="1" applyBorder="1" applyAlignment="1">
      <alignment horizontal="center" vertical="center"/>
    </xf>
    <xf numFmtId="49" fontId="44" fillId="0" borderId="17" xfId="101" applyNumberFormat="1" applyFont="1" applyFill="1" applyBorder="1" applyAlignment="1">
      <alignment horizontal="center" vertical="center"/>
    </xf>
    <xf numFmtId="49" fontId="44" fillId="0" borderId="14" xfId="101" applyNumberFormat="1" applyFont="1" applyFill="1" applyBorder="1" applyAlignment="1" applyProtection="1">
      <alignment horizontal="center" vertical="center"/>
    </xf>
    <xf numFmtId="49" fontId="44" fillId="0" borderId="14" xfId="0" applyNumberFormat="1" applyFont="1" applyFill="1" applyBorder="1" applyAlignment="1"/>
    <xf numFmtId="49" fontId="44" fillId="0" borderId="14" xfId="0" applyNumberFormat="1" applyFont="1" applyFill="1" applyBorder="1" applyAlignment="1">
      <alignment horizontal="left" indent="1"/>
    </xf>
    <xf numFmtId="0" fontId="44" fillId="0" borderId="0" xfId="0" applyFont="1" applyFill="1" applyBorder="1" applyAlignment="1"/>
    <xf numFmtId="4" fontId="44" fillId="0" borderId="14" xfId="0" quotePrefix="1" applyNumberFormat="1" applyFont="1" applyFill="1" applyBorder="1" applyAlignment="1">
      <alignment horizontal="left"/>
    </xf>
    <xf numFmtId="4" fontId="44" fillId="0" borderId="14" xfId="0" applyNumberFormat="1" applyFont="1" applyFill="1" applyBorder="1" applyAlignment="1"/>
    <xf numFmtId="4" fontId="44" fillId="0" borderId="14" xfId="0" quotePrefix="1" applyNumberFormat="1" applyFont="1" applyFill="1" applyBorder="1" applyAlignment="1"/>
    <xf numFmtId="49" fontId="42" fillId="0" borderId="9" xfId="0" applyNumberFormat="1" applyFont="1" applyFill="1" applyBorder="1" applyAlignment="1">
      <alignment horizontal="center"/>
    </xf>
    <xf numFmtId="165" fontId="42" fillId="0" borderId="9" xfId="101" applyNumberFormat="1" applyFont="1" applyFill="1" applyBorder="1"/>
    <xf numFmtId="49" fontId="42" fillId="0" borderId="9" xfId="101" applyNumberFormat="1" applyFont="1" applyFill="1" applyBorder="1"/>
    <xf numFmtId="2" fontId="42" fillId="0" borderId="16" xfId="0" applyNumberFormat="1" applyFont="1" applyFill="1" applyBorder="1" applyAlignment="1">
      <alignment horizontal="center" vertical="center"/>
    </xf>
    <xf numFmtId="2" fontId="42" fillId="0" borderId="20" xfId="0" applyNumberFormat="1" applyFont="1" applyFill="1" applyBorder="1" applyAlignment="1">
      <alignment horizontal="center" vertical="center"/>
    </xf>
    <xf numFmtId="49" fontId="44" fillId="0" borderId="27" xfId="0" applyNumberFormat="1" applyFont="1" applyFill="1" applyBorder="1" applyAlignment="1">
      <alignment horizontal="left" vertical="center"/>
    </xf>
    <xf numFmtId="49" fontId="44" fillId="0" borderId="27" xfId="0" applyNumberFormat="1" applyFont="1" applyFill="1" applyBorder="1"/>
    <xf numFmtId="4" fontId="42" fillId="0" borderId="9" xfId="101" applyNumberFormat="1" applyFont="1" applyFill="1" applyBorder="1" applyAlignment="1">
      <alignment horizontal="right"/>
    </xf>
    <xf numFmtId="49" fontId="42" fillId="0" borderId="9" xfId="0" applyNumberFormat="1" applyFont="1" applyFill="1" applyBorder="1"/>
    <xf numFmtId="49" fontId="42" fillId="0" borderId="18" xfId="0" applyNumberFormat="1" applyFont="1" applyFill="1" applyBorder="1" applyAlignment="1">
      <alignment horizontal="center"/>
    </xf>
    <xf numFmtId="0" fontId="42" fillId="0" borderId="19" xfId="0" applyFont="1" applyFill="1" applyBorder="1"/>
    <xf numFmtId="49" fontId="42" fillId="0" borderId="22" xfId="0" applyNumberFormat="1" applyFont="1" applyFill="1" applyBorder="1" applyAlignment="1">
      <alignment horizontal="left" vertical="center"/>
    </xf>
    <xf numFmtId="3" fontId="42" fillId="0" borderId="23" xfId="0" applyNumberFormat="1" applyFont="1" applyFill="1" applyBorder="1" applyAlignment="1">
      <alignment horizontal="center" vertical="center"/>
    </xf>
    <xf numFmtId="4" fontId="44" fillId="0" borderId="15" xfId="101" applyNumberFormat="1" applyFont="1" applyFill="1" applyBorder="1" applyAlignment="1">
      <alignment horizontal="right" vertical="center"/>
    </xf>
    <xf numFmtId="165" fontId="44" fillId="0" borderId="15" xfId="101" applyFont="1" applyFill="1" applyBorder="1" applyAlignment="1">
      <alignment vertical="center"/>
    </xf>
    <xf numFmtId="165" fontId="44" fillId="0" borderId="15" xfId="101" applyNumberFormat="1" applyFont="1" applyFill="1" applyBorder="1" applyAlignment="1">
      <alignment vertical="center"/>
    </xf>
    <xf numFmtId="0" fontId="42" fillId="0" borderId="15" xfId="0" applyFont="1" applyFill="1" applyBorder="1" applyAlignment="1">
      <alignment vertical="center"/>
    </xf>
    <xf numFmtId="49" fontId="44" fillId="0" borderId="15" xfId="0" applyNumberFormat="1" applyFont="1" applyFill="1" applyBorder="1"/>
    <xf numFmtId="0" fontId="42" fillId="0" borderId="9" xfId="102" applyFont="1" applyBorder="1"/>
    <xf numFmtId="43" fontId="44" fillId="0" borderId="9" xfId="0" applyNumberFormat="1" applyFont="1" applyFill="1" applyBorder="1" applyAlignment="1">
      <alignment horizontal="center" vertical="center"/>
    </xf>
    <xf numFmtId="4" fontId="44" fillId="0" borderId="9" xfId="0" applyNumberFormat="1" applyFont="1" applyFill="1" applyBorder="1" applyAlignment="1">
      <alignment horizontal="right" vertical="center"/>
    </xf>
    <xf numFmtId="43" fontId="44" fillId="0" borderId="9" xfId="0" applyNumberFormat="1" applyFont="1" applyFill="1" applyBorder="1" applyAlignment="1">
      <alignment vertical="center"/>
    </xf>
    <xf numFmtId="43" fontId="44" fillId="0" borderId="21" xfId="0" applyNumberFormat="1" applyFont="1" applyFill="1" applyBorder="1" applyAlignment="1">
      <alignment horizontal="center" vertical="center"/>
    </xf>
    <xf numFmtId="4" fontId="44" fillId="0" borderId="21" xfId="0" applyNumberFormat="1" applyFont="1" applyFill="1" applyBorder="1" applyAlignment="1">
      <alignment horizontal="right" vertical="center"/>
    </xf>
    <xf numFmtId="49" fontId="42" fillId="0" borderId="21" xfId="0" applyNumberFormat="1" applyFont="1" applyFill="1" applyBorder="1" applyAlignment="1">
      <alignment vertical="center"/>
    </xf>
    <xf numFmtId="49" fontId="42" fillId="0" borderId="14" xfId="0" applyNumberFormat="1" applyFont="1" applyFill="1" applyBorder="1" applyAlignment="1">
      <alignment vertical="center"/>
    </xf>
    <xf numFmtId="165" fontId="44" fillId="0" borderId="14" xfId="0" applyNumberFormat="1" applyFont="1" applyFill="1" applyBorder="1" applyAlignment="1" applyProtection="1">
      <alignment horizontal="right"/>
    </xf>
    <xf numFmtId="3" fontId="44" fillId="0" borderId="26" xfId="0" applyNumberFormat="1" applyFont="1" applyFill="1" applyBorder="1" applyAlignment="1">
      <alignment horizontal="center" vertical="center"/>
    </xf>
    <xf numFmtId="2" fontId="44" fillId="0" borderId="27" xfId="0" applyNumberFormat="1" applyFont="1" applyFill="1" applyBorder="1" applyAlignment="1">
      <alignment horizontal="center" vertical="center"/>
    </xf>
    <xf numFmtId="2" fontId="44" fillId="0" borderId="24" xfId="0" applyNumberFormat="1" applyFont="1" applyFill="1" applyBorder="1" applyAlignment="1">
      <alignment horizontal="center" vertical="center"/>
    </xf>
    <xf numFmtId="0" fontId="44" fillId="0" borderId="14" xfId="78" applyFont="1" applyBorder="1"/>
    <xf numFmtId="0" fontId="44" fillId="0" borderId="14" xfId="0" applyFont="1" applyFill="1" applyBorder="1" applyAlignment="1" applyProtection="1">
      <alignment horizontal="center"/>
    </xf>
    <xf numFmtId="0" fontId="44" fillId="0" borderId="14" xfId="102" applyFont="1" applyBorder="1" applyAlignment="1">
      <alignment horizontal="left"/>
    </xf>
    <xf numFmtId="166" fontId="44" fillId="0" borderId="14" xfId="101" applyNumberFormat="1" applyFont="1" applyFill="1" applyBorder="1" applyAlignment="1" applyProtection="1">
      <alignment horizontal="center"/>
    </xf>
    <xf numFmtId="2" fontId="44" fillId="0" borderId="9" xfId="0" applyNumberFormat="1" applyFont="1" applyFill="1" applyBorder="1" applyAlignment="1">
      <alignment horizontal="center" vertical="center"/>
    </xf>
    <xf numFmtId="49" fontId="44" fillId="0" borderId="9" xfId="0" applyNumberFormat="1" applyFont="1" applyFill="1" applyBorder="1" applyAlignment="1">
      <alignment vertical="center"/>
    </xf>
    <xf numFmtId="2" fontId="44" fillId="0" borderId="16" xfId="0" applyNumberFormat="1" applyFont="1" applyFill="1" applyBorder="1" applyAlignment="1">
      <alignment horizontal="center" vertical="center"/>
    </xf>
    <xf numFmtId="4" fontId="44" fillId="0" borderId="16" xfId="0" applyNumberFormat="1" applyFont="1" applyFill="1" applyBorder="1" applyAlignment="1">
      <alignment horizontal="right" vertical="center"/>
    </xf>
    <xf numFmtId="49" fontId="44" fillId="0" borderId="16" xfId="0" applyNumberFormat="1" applyFont="1" applyFill="1" applyBorder="1" applyAlignment="1">
      <alignment vertical="center"/>
    </xf>
    <xf numFmtId="49" fontId="44" fillId="0" borderId="21" xfId="0" applyNumberFormat="1" applyFont="1" applyFill="1" applyBorder="1" applyAlignment="1">
      <alignment vertical="center"/>
    </xf>
    <xf numFmtId="49" fontId="44" fillId="27" borderId="14" xfId="0" applyNumberFormat="1" applyFont="1" applyFill="1" applyBorder="1" applyAlignment="1">
      <alignment vertical="center"/>
    </xf>
    <xf numFmtId="49" fontId="44" fillId="27" borderId="21" xfId="0" applyNumberFormat="1" applyFont="1" applyFill="1" applyBorder="1" applyAlignment="1">
      <alignment vertical="center"/>
    </xf>
    <xf numFmtId="2" fontId="44" fillId="0" borderId="9" xfId="0" applyNumberFormat="1" applyFont="1" applyFill="1" applyBorder="1" applyAlignment="1">
      <alignment horizontal="center"/>
    </xf>
    <xf numFmtId="4" fontId="44" fillId="0" borderId="9" xfId="0" applyNumberFormat="1" applyFont="1" applyFill="1" applyBorder="1" applyAlignment="1">
      <alignment horizontal="right"/>
    </xf>
    <xf numFmtId="49" fontId="44" fillId="0" borderId="9" xfId="0" applyNumberFormat="1" applyFont="1" applyFill="1" applyBorder="1" applyAlignment="1"/>
    <xf numFmtId="165" fontId="44" fillId="0" borderId="25" xfId="101" applyFont="1" applyFill="1" applyBorder="1" applyAlignment="1">
      <alignment horizontal="center" vertical="center"/>
    </xf>
    <xf numFmtId="4" fontId="44" fillId="0" borderId="25" xfId="101" applyNumberFormat="1" applyFont="1" applyFill="1" applyBorder="1" applyAlignment="1">
      <alignment horizontal="right"/>
    </xf>
    <xf numFmtId="49" fontId="44" fillId="0" borderId="25" xfId="0" applyNumberFormat="1" applyFont="1" applyFill="1" applyBorder="1"/>
    <xf numFmtId="4" fontId="44" fillId="0" borderId="42" xfId="101" applyNumberFormat="1" applyFont="1" applyFill="1" applyBorder="1" applyAlignment="1">
      <alignment horizontal="right" vertical="center"/>
    </xf>
    <xf numFmtId="49" fontId="44" fillId="0" borderId="21" xfId="0" applyNumberFormat="1" applyFont="1" applyFill="1" applyBorder="1"/>
    <xf numFmtId="4" fontId="42" fillId="0" borderId="18" xfId="0" applyNumberFormat="1" applyFont="1" applyFill="1" applyBorder="1" applyAlignment="1">
      <alignment horizontal="right" vertical="center"/>
    </xf>
    <xf numFmtId="4" fontId="42" fillId="0" borderId="25" xfId="0" applyNumberFormat="1" applyFont="1" applyFill="1" applyBorder="1" applyAlignment="1">
      <alignment horizontal="right" vertical="center"/>
    </xf>
    <xf numFmtId="4" fontId="42" fillId="0" borderId="43" xfId="0" applyNumberFormat="1" applyFont="1" applyFill="1" applyBorder="1" applyAlignment="1">
      <alignment horizontal="right" vertical="center"/>
    </xf>
    <xf numFmtId="49" fontId="42" fillId="0" borderId="25" xfId="0" applyNumberFormat="1" applyFont="1" applyFill="1" applyBorder="1"/>
    <xf numFmtId="4" fontId="42" fillId="0" borderId="9" xfId="0" applyNumberFormat="1" applyFont="1" applyFill="1" applyBorder="1" applyAlignment="1">
      <alignment horizontal="right"/>
    </xf>
    <xf numFmtId="49" fontId="44" fillId="0" borderId="9" xfId="0" applyNumberFormat="1" applyFont="1" applyFill="1" applyBorder="1"/>
    <xf numFmtId="4" fontId="44" fillId="0" borderId="20" xfId="101" applyNumberFormat="1" applyFont="1" applyFill="1" applyBorder="1" applyAlignment="1">
      <alignment horizontal="right"/>
    </xf>
    <xf numFmtId="49" fontId="44" fillId="0" borderId="20" xfId="0" applyNumberFormat="1" applyFont="1" applyFill="1" applyBorder="1"/>
    <xf numFmtId="4" fontId="44" fillId="0" borderId="17" xfId="101" applyNumberFormat="1" applyFont="1" applyFill="1" applyBorder="1" applyAlignment="1">
      <alignment horizontal="right"/>
    </xf>
    <xf numFmtId="49" fontId="44" fillId="0" borderId="17" xfId="0" applyNumberFormat="1" applyFont="1" applyFill="1" applyBorder="1"/>
    <xf numFmtId="4" fontId="44" fillId="0" borderId="21" xfId="101" applyNumberFormat="1" applyFont="1" applyFill="1" applyBorder="1" applyAlignment="1">
      <alignment horizontal="right"/>
    </xf>
    <xf numFmtId="4" fontId="44" fillId="0" borderId="9" xfId="101" applyNumberFormat="1" applyFont="1" applyFill="1" applyBorder="1" applyAlignment="1">
      <alignment horizontal="right"/>
    </xf>
    <xf numFmtId="49" fontId="44" fillId="0" borderId="20" xfId="0" applyNumberFormat="1" applyFont="1" applyFill="1" applyBorder="1" applyAlignment="1">
      <alignment vertical="center"/>
    </xf>
    <xf numFmtId="4" fontId="44" fillId="0" borderId="0" xfId="101" applyNumberFormat="1" applyFont="1" applyFill="1" applyAlignment="1">
      <alignment horizontal="right"/>
    </xf>
    <xf numFmtId="4" fontId="45" fillId="0" borderId="0" xfId="0" applyNumberFormat="1" applyFont="1" applyFill="1" applyBorder="1" applyAlignment="1" applyProtection="1">
      <alignment horizontal="right"/>
      <protection hidden="1"/>
    </xf>
    <xf numFmtId="165" fontId="45" fillId="0" borderId="0" xfId="101" applyFont="1" applyFill="1" applyBorder="1" applyAlignment="1" applyProtection="1">
      <alignment horizontal="right"/>
      <protection hidden="1"/>
    </xf>
    <xf numFmtId="4" fontId="45" fillId="0" borderId="0" xfId="0" applyNumberFormat="1" applyFont="1" applyFill="1" applyBorder="1" applyAlignment="1" applyProtection="1">
      <alignment horizontal="right"/>
      <protection locked="0"/>
    </xf>
    <xf numFmtId="0" fontId="45" fillId="0" borderId="0" xfId="0" applyFont="1" applyFill="1" applyBorder="1" applyAlignment="1" applyProtection="1">
      <alignment horizontal="right"/>
    </xf>
    <xf numFmtId="0" fontId="42" fillId="0" borderId="9" xfId="0" applyFont="1" applyFill="1" applyBorder="1" applyAlignment="1" applyProtection="1">
      <alignment horizontal="center" vertical="center"/>
      <protection hidden="1"/>
    </xf>
    <xf numFmtId="49" fontId="42" fillId="0" borderId="9" xfId="0" applyNumberFormat="1" applyFont="1" applyFill="1" applyBorder="1" applyAlignment="1" applyProtection="1">
      <alignment horizontal="center" vertical="center"/>
      <protection hidden="1"/>
    </xf>
    <xf numFmtId="0" fontId="42" fillId="0" borderId="19" xfId="0" applyFont="1" applyFill="1" applyBorder="1" applyAlignment="1" applyProtection="1">
      <alignment horizontal="center" vertical="center"/>
      <protection hidden="1"/>
    </xf>
    <xf numFmtId="4" fontId="42" fillId="0" borderId="9" xfId="0" applyNumberFormat="1" applyFont="1" applyFill="1" applyBorder="1" applyAlignment="1" applyProtection="1">
      <alignment horizontal="right" vertical="center"/>
      <protection hidden="1"/>
    </xf>
    <xf numFmtId="165" fontId="42" fillId="0" borderId="9" xfId="101" applyFont="1" applyFill="1" applyBorder="1" applyAlignment="1" applyProtection="1">
      <alignment horizontal="center" vertical="center"/>
      <protection hidden="1"/>
    </xf>
    <xf numFmtId="49" fontId="42" fillId="0" borderId="18" xfId="0" applyNumberFormat="1" applyFont="1" applyFill="1" applyBorder="1" applyAlignment="1" applyProtection="1">
      <alignment horizontal="center" vertical="center"/>
      <protection hidden="1"/>
    </xf>
    <xf numFmtId="49" fontId="42" fillId="0" borderId="9" xfId="0" applyNumberFormat="1" applyFont="1" applyFill="1" applyBorder="1" applyAlignment="1">
      <alignment horizontal="left" vertical="center"/>
    </xf>
    <xf numFmtId="4" fontId="44" fillId="27" borderId="26" xfId="106" applyNumberFormat="1" applyFont="1" applyFill="1" applyBorder="1" applyAlignment="1">
      <alignment horizontal="right" vertical="center"/>
    </xf>
    <xf numFmtId="49" fontId="44" fillId="0" borderId="14" xfId="0" applyNumberFormat="1" applyFont="1" applyBorder="1"/>
    <xf numFmtId="165" fontId="48" fillId="0" borderId="14" xfId="101" applyNumberFormat="1" applyFont="1" applyFill="1" applyBorder="1" applyAlignment="1" applyProtection="1">
      <alignment vertical="center"/>
      <protection locked="0"/>
    </xf>
    <xf numFmtId="4" fontId="44" fillId="0" borderId="20" xfId="0" applyNumberFormat="1" applyFont="1" applyFill="1" applyBorder="1" applyAlignment="1">
      <alignment horizontal="right" vertical="center"/>
    </xf>
    <xf numFmtId="49" fontId="44" fillId="0" borderId="18" xfId="101" applyNumberFormat="1" applyFont="1" applyFill="1" applyBorder="1" applyAlignment="1">
      <alignment vertical="center"/>
    </xf>
    <xf numFmtId="3" fontId="44" fillId="0" borderId="21" xfId="101" applyNumberFormat="1" applyFont="1" applyFill="1" applyBorder="1" applyAlignment="1">
      <alignment horizontal="center" vertical="center"/>
    </xf>
    <xf numFmtId="49" fontId="44" fillId="0" borderId="42" xfId="0" applyNumberFormat="1" applyFont="1" applyFill="1" applyBorder="1" applyAlignment="1">
      <alignment horizontal="center" vertical="center"/>
    </xf>
    <xf numFmtId="165" fontId="42" fillId="0" borderId="19" xfId="101" applyNumberFormat="1" applyFont="1" applyFill="1" applyBorder="1" applyAlignment="1">
      <alignment horizontal="center" vertical="center"/>
    </xf>
    <xf numFmtId="49" fontId="44" fillId="0" borderId="27" xfId="0" applyNumberFormat="1" applyFont="1" applyFill="1" applyBorder="1" applyAlignment="1">
      <alignment horizontal="center" vertical="center"/>
    </xf>
    <xf numFmtId="165" fontId="44" fillId="0" borderId="21" xfId="101" applyNumberFormat="1" applyFont="1" applyFill="1" applyBorder="1" applyAlignment="1">
      <alignment horizontal="center" vertical="center"/>
    </xf>
    <xf numFmtId="49" fontId="42" fillId="0" borderId="42" xfId="0" applyNumberFormat="1" applyFont="1" applyFill="1" applyBorder="1" applyAlignment="1">
      <alignment horizontal="center" vertical="center"/>
    </xf>
    <xf numFmtId="49" fontId="42" fillId="0" borderId="40" xfId="0" applyNumberFormat="1" applyFont="1" applyFill="1" applyBorder="1" applyAlignment="1">
      <alignment horizontal="center" vertical="center"/>
    </xf>
    <xf numFmtId="4" fontId="42" fillId="0" borderId="9" xfId="101" applyNumberFormat="1" applyFont="1" applyFill="1" applyBorder="1" applyAlignment="1">
      <alignment horizontal="center" vertical="center"/>
    </xf>
    <xf numFmtId="49" fontId="44" fillId="0" borderId="21" xfId="0" applyNumberFormat="1" applyFont="1" applyFill="1" applyBorder="1" applyAlignment="1">
      <alignment horizontal="center" vertical="center"/>
    </xf>
    <xf numFmtId="4" fontId="44" fillId="0" borderId="21" xfId="101" applyNumberFormat="1" applyFont="1" applyFill="1" applyBorder="1" applyAlignment="1">
      <alignment horizontal="center" vertical="center"/>
    </xf>
    <xf numFmtId="165" fontId="44" fillId="0" borderId="21" xfId="101" applyFont="1" applyFill="1" applyBorder="1" applyAlignment="1">
      <alignment horizontal="center" vertical="center"/>
    </xf>
    <xf numFmtId="0" fontId="44" fillId="0" borderId="49" xfId="0" applyFont="1" applyFill="1" applyBorder="1" applyAlignment="1">
      <alignment horizontal="center" vertical="center"/>
    </xf>
    <xf numFmtId="4" fontId="44" fillId="0" borderId="49" xfId="101" applyNumberFormat="1" applyFont="1" applyFill="1" applyBorder="1" applyAlignment="1">
      <alignment horizontal="right" vertical="center"/>
    </xf>
    <xf numFmtId="165" fontId="42" fillId="0" borderId="48" xfId="101" applyFont="1" applyFill="1" applyBorder="1" applyAlignment="1">
      <alignment horizontal="center" vertical="center"/>
    </xf>
    <xf numFmtId="49" fontId="44" fillId="0" borderId="9" xfId="101" applyNumberFormat="1" applyFont="1" applyFill="1" applyBorder="1" applyAlignment="1">
      <alignment vertical="center"/>
    </xf>
    <xf numFmtId="49" fontId="44" fillId="0" borderId="20" xfId="101" applyNumberFormat="1" applyFont="1" applyFill="1" applyBorder="1" applyAlignment="1" applyProtection="1">
      <alignment horizontal="center" vertical="center"/>
    </xf>
    <xf numFmtId="4" fontId="42" fillId="0" borderId="15" xfId="0" applyNumberFormat="1" applyFont="1" applyFill="1" applyBorder="1" applyAlignment="1">
      <alignment horizontal="right" vertical="center"/>
    </xf>
    <xf numFmtId="4" fontId="44" fillId="0" borderId="28" xfId="0" applyNumberFormat="1" applyFont="1" applyFill="1" applyBorder="1" applyAlignment="1">
      <alignment horizontal="right" vertical="center"/>
    </xf>
    <xf numFmtId="4" fontId="44" fillId="0" borderId="0" xfId="0" applyNumberFormat="1" applyFont="1" applyFill="1" applyBorder="1" applyAlignment="1">
      <alignment horizontal="right"/>
    </xf>
    <xf numFmtId="4" fontId="44" fillId="0" borderId="25" xfId="0" applyNumberFormat="1" applyFont="1" applyFill="1" applyBorder="1" applyAlignment="1">
      <alignment horizontal="right" vertical="center"/>
    </xf>
    <xf numFmtId="4" fontId="44" fillId="0" borderId="20" xfId="103" applyNumberFormat="1" applyFont="1" applyFill="1" applyBorder="1" applyAlignment="1">
      <alignment horizontal="right"/>
    </xf>
    <xf numFmtId="4" fontId="44" fillId="0" borderId="17" xfId="103" applyNumberFormat="1" applyFont="1" applyFill="1" applyBorder="1" applyAlignment="1">
      <alignment horizontal="right"/>
    </xf>
    <xf numFmtId="4" fontId="44" fillId="0" borderId="9" xfId="103" applyNumberFormat="1" applyFont="1" applyFill="1" applyBorder="1" applyAlignment="1">
      <alignment horizontal="right"/>
    </xf>
    <xf numFmtId="4" fontId="42" fillId="0" borderId="20" xfId="0" applyNumberFormat="1" applyFont="1" applyFill="1" applyBorder="1" applyAlignment="1">
      <alignment horizontal="right" vertical="center"/>
    </xf>
    <xf numFmtId="4" fontId="44" fillId="0" borderId="17" xfId="0" applyNumberFormat="1" applyFont="1" applyFill="1" applyBorder="1" applyAlignment="1">
      <alignment horizontal="right" vertical="center"/>
    </xf>
    <xf numFmtId="4" fontId="44" fillId="0" borderId="14" xfId="103" applyNumberFormat="1" applyFont="1" applyFill="1" applyBorder="1" applyAlignment="1">
      <alignment horizontal="right"/>
    </xf>
    <xf numFmtId="4" fontId="44" fillId="0" borderId="14" xfId="0" applyNumberFormat="1" applyFont="1" applyFill="1" applyBorder="1" applyAlignment="1">
      <alignment horizontal="right"/>
    </xf>
    <xf numFmtId="4" fontId="44" fillId="0" borderId="17" xfId="0" applyNumberFormat="1" applyFont="1" applyFill="1" applyBorder="1" applyAlignment="1">
      <alignment horizontal="right"/>
    </xf>
    <xf numFmtId="4" fontId="44" fillId="0" borderId="21" xfId="103" applyNumberFormat="1" applyFont="1" applyFill="1" applyBorder="1" applyAlignment="1">
      <alignment horizontal="right"/>
    </xf>
    <xf numFmtId="4" fontId="44" fillId="0" borderId="14" xfId="79" applyNumberFormat="1" applyFont="1" applyFill="1" applyBorder="1" applyAlignment="1">
      <alignment horizontal="right"/>
    </xf>
    <xf numFmtId="4" fontId="42" fillId="0" borderId="14" xfId="0" applyNumberFormat="1" applyFont="1" applyFill="1" applyBorder="1" applyAlignment="1">
      <alignment horizontal="right" vertical="center"/>
    </xf>
    <xf numFmtId="4" fontId="44" fillId="0" borderId="0" xfId="0" applyNumberFormat="1" applyFont="1" applyFill="1" applyAlignment="1">
      <alignment horizontal="right"/>
    </xf>
    <xf numFmtId="165" fontId="45" fillId="0" borderId="0" xfId="0" applyNumberFormat="1" applyFont="1" applyFill="1" applyBorder="1" applyAlignment="1" applyProtection="1">
      <alignment horizontal="right"/>
      <protection hidden="1"/>
    </xf>
    <xf numFmtId="165" fontId="45" fillId="0" borderId="0" xfId="0" applyNumberFormat="1" applyFont="1" applyFill="1" applyBorder="1" applyAlignment="1" applyProtection="1">
      <alignment horizontal="center"/>
      <protection hidden="1"/>
    </xf>
    <xf numFmtId="165" fontId="45" fillId="0" borderId="0" xfId="101" applyNumberFormat="1" applyFont="1" applyFill="1" applyBorder="1" applyAlignment="1" applyProtection="1">
      <alignment horizontal="right"/>
      <protection hidden="1"/>
    </xf>
    <xf numFmtId="165" fontId="45" fillId="0" borderId="0" xfId="101" applyNumberFormat="1" applyFont="1" applyFill="1" applyBorder="1" applyProtection="1">
      <protection hidden="1"/>
    </xf>
    <xf numFmtId="165" fontId="45" fillId="0" borderId="0" xfId="101" applyNumberFormat="1" applyFont="1" applyFill="1" applyBorder="1" applyAlignment="1" applyProtection="1">
      <alignment horizontal="left"/>
      <protection locked="0"/>
    </xf>
    <xf numFmtId="165" fontId="45" fillId="0" borderId="0" xfId="0" applyNumberFormat="1" applyFont="1" applyFill="1" applyBorder="1" applyAlignment="1" applyProtection="1">
      <alignment horizontal="right"/>
      <protection locked="0"/>
    </xf>
    <xf numFmtId="165" fontId="45" fillId="0" borderId="0" xfId="101" applyNumberFormat="1" applyFont="1" applyFill="1" applyBorder="1" applyAlignment="1" applyProtection="1">
      <alignment horizontal="right"/>
      <protection locked="0"/>
    </xf>
    <xf numFmtId="165" fontId="45" fillId="0" borderId="0" xfId="101" applyNumberFormat="1" applyFont="1" applyFill="1" applyBorder="1" applyAlignment="1" applyProtection="1">
      <alignment horizontal="left"/>
      <protection hidden="1"/>
    </xf>
    <xf numFmtId="165" fontId="45" fillId="0" borderId="0" xfId="0" applyNumberFormat="1" applyFont="1" applyFill="1" applyBorder="1" applyAlignment="1" applyProtection="1">
      <alignment horizontal="center"/>
    </xf>
    <xf numFmtId="165" fontId="45" fillId="0" borderId="0" xfId="0" applyNumberFormat="1" applyFont="1" applyFill="1" applyBorder="1" applyAlignment="1" applyProtection="1">
      <alignment horizontal="right"/>
    </xf>
    <xf numFmtId="183" fontId="45" fillId="0" borderId="0" xfId="0" applyNumberFormat="1" applyFont="1" applyFill="1" applyBorder="1" applyAlignment="1" applyProtection="1">
      <alignment horizontal="center"/>
      <protection locked="0"/>
    </xf>
    <xf numFmtId="165" fontId="45" fillId="0" borderId="0" xfId="0" applyNumberFormat="1" applyFont="1" applyFill="1" applyBorder="1" applyAlignment="1" applyProtection="1">
      <alignment horizontal="left" indent="1"/>
      <protection locked="0"/>
    </xf>
    <xf numFmtId="165" fontId="45" fillId="0" borderId="0" xfId="101" applyNumberFormat="1" applyFont="1" applyFill="1" applyBorder="1" applyAlignment="1" applyProtection="1">
      <alignment horizontal="right" indent="1"/>
    </xf>
    <xf numFmtId="165" fontId="45" fillId="0" borderId="0" xfId="101" applyNumberFormat="1" applyFont="1" applyFill="1"/>
    <xf numFmtId="165" fontId="45" fillId="0" borderId="0" xfId="101" applyNumberFormat="1" applyFont="1" applyFill="1" applyAlignment="1">
      <alignment horizontal="right"/>
    </xf>
    <xf numFmtId="165" fontId="44" fillId="0" borderId="9" xfId="101" applyNumberFormat="1" applyFont="1" applyFill="1" applyBorder="1" applyAlignment="1" applyProtection="1">
      <alignment horizontal="right" vertical="top"/>
      <protection hidden="1"/>
    </xf>
    <xf numFmtId="165" fontId="44" fillId="0" borderId="9" xfId="101" applyNumberFormat="1" applyFont="1" applyFill="1" applyBorder="1" applyAlignment="1" applyProtection="1">
      <alignment horizontal="center" vertical="top"/>
      <protection hidden="1"/>
    </xf>
    <xf numFmtId="0" fontId="42" fillId="0" borderId="25" xfId="0" applyFont="1" applyFill="1" applyBorder="1" applyAlignment="1" applyProtection="1">
      <alignment horizontal="center" vertical="center"/>
      <protection hidden="1"/>
    </xf>
    <xf numFmtId="49" fontId="42" fillId="0" borderId="25" xfId="0" applyNumberFormat="1" applyFont="1" applyFill="1" applyBorder="1" applyAlignment="1" applyProtection="1">
      <alignment horizontal="center" vertical="center"/>
      <protection hidden="1"/>
    </xf>
    <xf numFmtId="0" fontId="44" fillId="0" borderId="35" xfId="0" applyFont="1" applyFill="1" applyBorder="1" applyAlignment="1" applyProtection="1">
      <alignment horizontal="center" vertical="center"/>
      <protection hidden="1"/>
    </xf>
    <xf numFmtId="165" fontId="44" fillId="0" borderId="25" xfId="0" applyNumberFormat="1" applyFont="1" applyFill="1" applyBorder="1" applyAlignment="1" applyProtection="1">
      <alignment horizontal="right" vertical="center"/>
      <protection hidden="1"/>
    </xf>
    <xf numFmtId="165" fontId="44" fillId="0" borderId="25" xfId="0" applyNumberFormat="1" applyFont="1" applyFill="1" applyBorder="1" applyAlignment="1" applyProtection="1">
      <alignment horizontal="center" vertical="center"/>
      <protection hidden="1"/>
    </xf>
    <xf numFmtId="165" fontId="44" fillId="0" borderId="25" xfId="101" applyNumberFormat="1" applyFont="1" applyFill="1" applyBorder="1" applyAlignment="1" applyProtection="1">
      <alignment horizontal="right" vertical="top"/>
      <protection hidden="1"/>
    </xf>
    <xf numFmtId="165" fontId="44" fillId="0" borderId="25" xfId="101" applyNumberFormat="1" applyFont="1" applyFill="1" applyBorder="1" applyAlignment="1" applyProtection="1">
      <alignment horizontal="center" vertical="top"/>
      <protection hidden="1"/>
    </xf>
    <xf numFmtId="165" fontId="44" fillId="0" borderId="25" xfId="101" applyNumberFormat="1" applyFont="1" applyFill="1" applyBorder="1" applyAlignment="1" applyProtection="1">
      <alignment horizontal="center" vertical="center"/>
      <protection hidden="1"/>
    </xf>
    <xf numFmtId="0" fontId="44" fillId="0" borderId="43" xfId="0" applyFont="1" applyFill="1" applyBorder="1" applyAlignment="1" applyProtection="1">
      <alignment horizontal="center" vertical="center"/>
      <protection hidden="1"/>
    </xf>
    <xf numFmtId="49" fontId="44" fillId="0" borderId="16" xfId="104" applyNumberFormat="1" applyFont="1" applyFill="1" applyBorder="1" applyAlignment="1">
      <alignment horizontal="left"/>
    </xf>
    <xf numFmtId="166" fontId="44" fillId="0" borderId="46" xfId="101" applyNumberFormat="1" applyFont="1" applyFill="1" applyBorder="1" applyAlignment="1">
      <alignment horizontal="right" vertical="center"/>
    </xf>
    <xf numFmtId="165" fontId="44" fillId="0" borderId="46" xfId="106" applyNumberFormat="1" applyFont="1" applyFill="1" applyBorder="1" applyAlignment="1">
      <alignment horizontal="right" vertical="center"/>
    </xf>
    <xf numFmtId="165" fontId="44" fillId="0" borderId="16" xfId="0" applyNumberFormat="1" applyFont="1" applyFill="1" applyBorder="1" applyAlignment="1">
      <alignment horizontal="center" vertical="center"/>
    </xf>
    <xf numFmtId="165" fontId="44" fillId="0" borderId="16" xfId="101" applyNumberFormat="1" applyFont="1" applyFill="1" applyBorder="1" applyAlignment="1" applyProtection="1">
      <alignment horizontal="right" vertical="center"/>
      <protection locked="0"/>
    </xf>
    <xf numFmtId="166" fontId="44" fillId="0" borderId="47" xfId="101" applyNumberFormat="1" applyFont="1" applyFill="1" applyBorder="1" applyAlignment="1">
      <alignment horizontal="center" vertical="center"/>
    </xf>
    <xf numFmtId="49" fontId="44" fillId="0" borderId="20" xfId="104" applyNumberFormat="1" applyFont="1" applyFill="1" applyBorder="1" applyAlignment="1"/>
    <xf numFmtId="165" fontId="44" fillId="0" borderId="32" xfId="106" applyNumberFormat="1" applyFont="1" applyFill="1" applyBorder="1" applyAlignment="1">
      <alignment horizontal="right" vertical="center"/>
    </xf>
    <xf numFmtId="165" fontId="44" fillId="0" borderId="20" xfId="0" applyNumberFormat="1" applyFont="1" applyFill="1" applyBorder="1" applyAlignment="1">
      <alignment horizontal="center" vertical="center"/>
    </xf>
    <xf numFmtId="49" fontId="44" fillId="0" borderId="14" xfId="105" applyNumberFormat="1" applyFont="1" applyFill="1" applyBorder="1" applyAlignment="1"/>
    <xf numFmtId="165" fontId="44" fillId="0" borderId="26" xfId="106" applyNumberFormat="1" applyFont="1" applyFill="1" applyBorder="1" applyAlignment="1">
      <alignment horizontal="right" vertical="center"/>
    </xf>
    <xf numFmtId="165" fontId="44" fillId="0" borderId="14" xfId="0" applyNumberFormat="1" applyFont="1" applyFill="1" applyBorder="1" applyAlignment="1">
      <alignment horizontal="center" vertical="center"/>
    </xf>
    <xf numFmtId="165" fontId="44" fillId="0" borderId="14" xfId="101" applyNumberFormat="1" applyFont="1" applyFill="1" applyBorder="1" applyAlignment="1" applyProtection="1">
      <alignment horizontal="right" vertical="center"/>
      <protection locked="0"/>
    </xf>
    <xf numFmtId="49" fontId="44" fillId="0" borderId="21" xfId="104" applyNumberFormat="1" applyFont="1" applyFill="1" applyBorder="1" applyAlignment="1"/>
    <xf numFmtId="165" fontId="44" fillId="0" borderId="41" xfId="106" applyNumberFormat="1" applyFont="1" applyFill="1" applyBorder="1" applyAlignment="1">
      <alignment horizontal="right" vertical="center"/>
    </xf>
    <xf numFmtId="165" fontId="44" fillId="0" borderId="21" xfId="0" applyNumberFormat="1" applyFont="1" applyFill="1" applyBorder="1" applyAlignment="1">
      <alignment horizontal="center" vertical="center"/>
    </xf>
    <xf numFmtId="165" fontId="44" fillId="0" borderId="21" xfId="101" applyNumberFormat="1" applyFont="1" applyFill="1" applyBorder="1" applyAlignment="1" applyProtection="1">
      <alignment horizontal="right" vertical="center"/>
      <protection locked="0"/>
    </xf>
    <xf numFmtId="1" fontId="42" fillId="0" borderId="9" xfId="105" applyNumberFormat="1" applyFont="1" applyFill="1" applyBorder="1" applyAlignment="1">
      <alignment horizontal="center" vertical="center"/>
    </xf>
    <xf numFmtId="165" fontId="42" fillId="0" borderId="19" xfId="106" applyNumberFormat="1" applyFont="1" applyFill="1" applyBorder="1" applyAlignment="1">
      <alignment horizontal="right" vertical="center"/>
    </xf>
    <xf numFmtId="165" fontId="42" fillId="0" borderId="9" xfId="101" applyNumberFormat="1" applyFont="1" applyFill="1" applyBorder="1" applyAlignment="1" applyProtection="1">
      <alignment horizontal="right" vertical="center"/>
      <protection locked="0"/>
    </xf>
    <xf numFmtId="166" fontId="44" fillId="0" borderId="18" xfId="101" applyNumberFormat="1" applyFont="1" applyFill="1" applyBorder="1" applyAlignment="1">
      <alignment horizontal="center" vertical="center"/>
    </xf>
    <xf numFmtId="1" fontId="44" fillId="0" borderId="20" xfId="105" applyNumberFormat="1" applyFont="1" applyFill="1" applyBorder="1" applyAlignment="1">
      <alignment horizontal="left" vertical="center"/>
    </xf>
    <xf numFmtId="166" fontId="44" fillId="0" borderId="44" xfId="101" applyNumberFormat="1" applyFont="1" applyFill="1" applyBorder="1" applyAlignment="1">
      <alignment horizontal="center" vertical="center"/>
    </xf>
    <xf numFmtId="165" fontId="44" fillId="0" borderId="20" xfId="101" applyNumberFormat="1" applyFont="1" applyFill="1" applyBorder="1" applyAlignment="1" applyProtection="1">
      <alignment horizontal="right" vertical="center"/>
      <protection locked="0"/>
    </xf>
    <xf numFmtId="49" fontId="42" fillId="0" borderId="9" xfId="104" applyNumberFormat="1" applyFont="1" applyFill="1" applyBorder="1" applyAlignment="1">
      <alignment horizontal="center"/>
    </xf>
    <xf numFmtId="3" fontId="42" fillId="0" borderId="19" xfId="101" applyNumberFormat="1" applyFont="1" applyFill="1" applyBorder="1" applyAlignment="1">
      <alignment vertical="center"/>
    </xf>
    <xf numFmtId="165" fontId="42" fillId="0" borderId="19" xfId="106" applyNumberFormat="1" applyFont="1" applyFill="1" applyBorder="1" applyAlignment="1">
      <alignment vertical="center"/>
    </xf>
    <xf numFmtId="166" fontId="44" fillId="0" borderId="18" xfId="101" applyNumberFormat="1" applyFont="1" applyFill="1" applyBorder="1" applyAlignment="1">
      <alignment vertical="center"/>
    </xf>
    <xf numFmtId="166" fontId="44" fillId="0" borderId="44" xfId="101" applyNumberFormat="1" applyFont="1" applyFill="1" applyBorder="1" applyAlignment="1">
      <alignment vertical="center"/>
    </xf>
    <xf numFmtId="0" fontId="44" fillId="0" borderId="17" xfId="0" applyFont="1" applyFill="1" applyBorder="1" applyAlignment="1">
      <alignment horizontal="left" vertical="top" shrinkToFit="1"/>
    </xf>
    <xf numFmtId="165" fontId="42" fillId="0" borderId="9" xfId="0" applyNumberFormat="1" applyFont="1" applyFill="1" applyBorder="1" applyAlignment="1">
      <alignment horizontal="right" vertical="center"/>
    </xf>
    <xf numFmtId="165" fontId="44" fillId="0" borderId="21" xfId="101" applyNumberFormat="1" applyFont="1" applyFill="1" applyBorder="1" applyAlignment="1" applyProtection="1">
      <alignment vertical="center"/>
      <protection locked="0"/>
    </xf>
    <xf numFmtId="3" fontId="42" fillId="0" borderId="19" xfId="101" applyNumberFormat="1" applyFont="1" applyFill="1" applyBorder="1" applyAlignment="1">
      <alignment horizontal="right" vertical="center"/>
    </xf>
    <xf numFmtId="165" fontId="44" fillId="0" borderId="17" xfId="0" applyNumberFormat="1" applyFont="1" applyFill="1" applyBorder="1" applyAlignment="1">
      <alignment horizontal="center" vertical="center"/>
    </xf>
    <xf numFmtId="165" fontId="44" fillId="0" borderId="17" xfId="101" applyNumberFormat="1" applyFont="1" applyFill="1" applyBorder="1" applyAlignment="1" applyProtection="1">
      <alignment vertical="center"/>
      <protection locked="0"/>
    </xf>
    <xf numFmtId="165" fontId="44" fillId="0" borderId="17" xfId="101" applyNumberFormat="1" applyFont="1" applyFill="1" applyBorder="1" applyAlignment="1" applyProtection="1">
      <alignment horizontal="right" vertical="center"/>
      <protection locked="0"/>
    </xf>
    <xf numFmtId="165" fontId="44" fillId="0" borderId="29" xfId="0" applyNumberFormat="1" applyFont="1" applyFill="1" applyBorder="1" applyAlignment="1">
      <alignment horizontal="center" vertical="center"/>
    </xf>
    <xf numFmtId="165" fontId="44" fillId="0" borderId="29" xfId="101" applyNumberFormat="1" applyFont="1" applyFill="1" applyBorder="1" applyAlignment="1" applyProtection="1">
      <alignment horizontal="right" vertical="center"/>
      <protection locked="0"/>
    </xf>
    <xf numFmtId="165" fontId="44" fillId="0" borderId="29" xfId="101" applyNumberFormat="1" applyFont="1" applyFill="1" applyBorder="1" applyAlignment="1" applyProtection="1">
      <alignment vertical="center"/>
      <protection locked="0"/>
    </xf>
    <xf numFmtId="49" fontId="44" fillId="0" borderId="45" xfId="0" applyNumberFormat="1" applyFont="1" applyFill="1" applyBorder="1" applyAlignment="1">
      <alignment horizontal="center" vertical="center"/>
    </xf>
    <xf numFmtId="0" fontId="44" fillId="0" borderId="14" xfId="0" applyFont="1" applyFill="1" applyBorder="1" applyAlignment="1">
      <alignment horizontal="left" vertical="top" shrinkToFit="1"/>
    </xf>
    <xf numFmtId="0" fontId="44" fillId="0" borderId="17" xfId="0" applyFont="1" applyFill="1" applyBorder="1" applyAlignment="1">
      <alignment horizontal="left" vertical="center"/>
    </xf>
    <xf numFmtId="0" fontId="44" fillId="0" borderId="29" xfId="0" applyFont="1" applyFill="1" applyBorder="1" applyAlignment="1">
      <alignment horizontal="left" vertical="center"/>
    </xf>
    <xf numFmtId="4" fontId="42" fillId="0" borderId="9" xfId="0" quotePrefix="1" applyNumberFormat="1" applyFont="1" applyFill="1" applyBorder="1" applyAlignment="1">
      <alignment horizontal="center"/>
    </xf>
    <xf numFmtId="4" fontId="42" fillId="0" borderId="19" xfId="101" applyNumberFormat="1" applyFont="1" applyFill="1" applyBorder="1" applyAlignment="1">
      <alignment vertical="center"/>
    </xf>
    <xf numFmtId="166" fontId="44" fillId="0" borderId="5" xfId="101" applyNumberFormat="1" applyFont="1" applyFill="1" applyBorder="1" applyAlignment="1">
      <alignment vertical="center"/>
    </xf>
    <xf numFmtId="4" fontId="42" fillId="0" borderId="9" xfId="0" applyNumberFormat="1" applyFont="1" applyFill="1" applyBorder="1" applyAlignment="1">
      <alignment horizontal="center"/>
    </xf>
    <xf numFmtId="165" fontId="44" fillId="0" borderId="0" xfId="0" applyNumberFormat="1" applyFont="1" applyFill="1" applyAlignment="1">
      <alignment horizontal="right"/>
    </xf>
    <xf numFmtId="165" fontId="44" fillId="0" borderId="0" xfId="0" applyNumberFormat="1" applyFont="1" applyFill="1" applyAlignment="1">
      <alignment horizontal="center"/>
    </xf>
    <xf numFmtId="165" fontId="44" fillId="0" borderId="0" xfId="101" applyNumberFormat="1" applyFont="1" applyFill="1" applyAlignment="1">
      <alignment horizontal="right"/>
    </xf>
    <xf numFmtId="0" fontId="44" fillId="0" borderId="0" xfId="80" applyFont="1"/>
    <xf numFmtId="0" fontId="44" fillId="0" borderId="36" xfId="80" applyFont="1" applyBorder="1" applyAlignment="1" applyProtection="1">
      <alignment horizontal="right" vertical="top"/>
      <protection hidden="1"/>
    </xf>
    <xf numFmtId="0" fontId="44" fillId="0" borderId="36" xfId="80" applyFont="1" applyBorder="1" applyAlignment="1" applyProtection="1">
      <alignment vertical="top"/>
      <protection hidden="1"/>
    </xf>
    <xf numFmtId="0" fontId="44" fillId="0" borderId="24" xfId="80" applyFont="1" applyBorder="1" applyAlignment="1" applyProtection="1">
      <alignment horizontal="right" vertical="top"/>
      <protection hidden="1"/>
    </xf>
    <xf numFmtId="0" fontId="44" fillId="0" borderId="24" xfId="80" applyFont="1" applyBorder="1" applyAlignment="1" applyProtection="1">
      <alignment vertical="top"/>
      <protection hidden="1"/>
    </xf>
    <xf numFmtId="0" fontId="42" fillId="0" borderId="24" xfId="80" applyFont="1" applyBorder="1" applyAlignment="1" applyProtection="1">
      <alignment horizontal="center"/>
      <protection locked="0"/>
    </xf>
    <xf numFmtId="164" fontId="48" fillId="0" borderId="24" xfId="80" applyNumberFormat="1" applyFont="1" applyBorder="1" applyAlignment="1" applyProtection="1">
      <alignment horizontal="center" vertical="top"/>
      <protection hidden="1"/>
    </xf>
    <xf numFmtId="0" fontId="48" fillId="0" borderId="24" xfId="80" applyFont="1" applyBorder="1" applyAlignment="1" applyProtection="1">
      <alignment horizontal="center" vertical="top"/>
      <protection hidden="1"/>
    </xf>
    <xf numFmtId="0" fontId="44" fillId="0" borderId="24" xfId="80" applyFont="1" applyBorder="1" applyAlignment="1"/>
    <xf numFmtId="0" fontId="48" fillId="0" borderId="0" xfId="80" applyFont="1"/>
    <xf numFmtId="0" fontId="42" fillId="0" borderId="9" xfId="80" applyFont="1" applyBorder="1" applyAlignment="1" applyProtection="1">
      <alignment horizontal="center" vertical="center"/>
      <protection hidden="1"/>
    </xf>
    <xf numFmtId="49" fontId="44" fillId="0" borderId="20" xfId="80" applyNumberFormat="1" applyFont="1" applyBorder="1" applyAlignment="1" applyProtection="1">
      <alignment horizontal="center" vertical="center"/>
      <protection hidden="1"/>
    </xf>
    <xf numFmtId="49" fontId="44" fillId="0" borderId="14" xfId="80" applyNumberFormat="1" applyFont="1" applyBorder="1" applyAlignment="1">
      <alignment horizontal="center"/>
    </xf>
    <xf numFmtId="49" fontId="44" fillId="0" borderId="14" xfId="80" applyNumberFormat="1" applyFont="1" applyBorder="1"/>
    <xf numFmtId="0" fontId="44" fillId="0" borderId="41" xfId="80" applyFont="1" applyBorder="1" applyAlignment="1">
      <alignment horizontal="left" vertical="top" indent="1"/>
    </xf>
    <xf numFmtId="0" fontId="44" fillId="0" borderId="0" xfId="80" applyFont="1" applyBorder="1" applyAlignment="1">
      <alignment horizontal="left" vertical="top" indent="1"/>
    </xf>
    <xf numFmtId="0" fontId="44" fillId="0" borderId="42" xfId="80" applyFont="1" applyBorder="1" applyAlignment="1">
      <alignment horizontal="left" vertical="top" indent="1"/>
    </xf>
    <xf numFmtId="49" fontId="44" fillId="0" borderId="15" xfId="80" applyNumberFormat="1" applyFont="1" applyBorder="1"/>
    <xf numFmtId="0" fontId="44" fillId="0" borderId="16" xfId="80" applyFont="1" applyBorder="1" applyAlignment="1" applyProtection="1">
      <alignment horizontal="center"/>
      <protection hidden="1"/>
    </xf>
    <xf numFmtId="0" fontId="44" fillId="0" borderId="15" xfId="80" applyFont="1" applyBorder="1"/>
    <xf numFmtId="0" fontId="42" fillId="0" borderId="37" xfId="80" applyFont="1" applyBorder="1" applyAlignment="1" applyProtection="1">
      <alignment horizontal="left" vertical="center"/>
      <protection hidden="1"/>
    </xf>
    <xf numFmtId="0" fontId="44" fillId="0" borderId="38" xfId="80" applyFont="1" applyBorder="1" applyAlignment="1" applyProtection="1">
      <alignment horizontal="center" vertical="center"/>
      <protection hidden="1"/>
    </xf>
    <xf numFmtId="0" fontId="44" fillId="0" borderId="39" xfId="80" applyFont="1" applyBorder="1" applyAlignment="1" applyProtection="1">
      <alignment vertical="center"/>
      <protection hidden="1"/>
    </xf>
    <xf numFmtId="0" fontId="44" fillId="0" borderId="31" xfId="80" applyFont="1" applyBorder="1" applyAlignment="1" applyProtection="1">
      <alignment horizontal="right" vertical="top"/>
      <protection hidden="1"/>
    </xf>
    <xf numFmtId="0" fontId="44" fillId="0" borderId="31" xfId="80" applyFont="1" applyBorder="1" applyAlignment="1" applyProtection="1">
      <alignment vertical="top"/>
      <protection hidden="1"/>
    </xf>
    <xf numFmtId="0" fontId="44" fillId="0" borderId="31" xfId="80" applyFont="1" applyBorder="1" applyAlignment="1"/>
    <xf numFmtId="0" fontId="44" fillId="0" borderId="36" xfId="80" applyFont="1" applyBorder="1" applyAlignment="1"/>
    <xf numFmtId="0" fontId="44" fillId="0" borderId="38" xfId="80" applyFont="1" applyBorder="1" applyAlignment="1" applyProtection="1">
      <alignment horizontal="right" vertical="top"/>
      <protection hidden="1"/>
    </xf>
    <xf numFmtId="0" fontId="44" fillId="0" borderId="0" xfId="80" applyFont="1" applyBorder="1" applyAlignment="1" applyProtection="1">
      <alignment horizontal="right" vertical="top"/>
      <protection hidden="1"/>
    </xf>
    <xf numFmtId="0" fontId="44" fillId="0" borderId="0" xfId="80" applyFont="1" applyBorder="1" applyAlignment="1" applyProtection="1">
      <alignment horizontal="left" vertical="top" indent="2"/>
      <protection hidden="1"/>
    </xf>
    <xf numFmtId="166" fontId="44" fillId="0" borderId="0" xfId="101" applyNumberFormat="1" applyFont="1" applyBorder="1" applyAlignment="1" applyProtection="1">
      <alignment horizontal="center" vertical="top"/>
      <protection hidden="1"/>
    </xf>
    <xf numFmtId="0" fontId="44" fillId="0" borderId="0" xfId="80" applyFont="1" applyBorder="1" applyAlignment="1" applyProtection="1">
      <alignment vertical="top"/>
      <protection hidden="1"/>
    </xf>
    <xf numFmtId="0" fontId="44" fillId="0" borderId="0" xfId="80" applyFont="1" applyBorder="1" applyAlignment="1">
      <alignment horizontal="center"/>
    </xf>
    <xf numFmtId="0" fontId="44" fillId="0" borderId="0" xfId="80" applyFont="1" applyBorder="1" applyAlignment="1"/>
    <xf numFmtId="0" fontId="44" fillId="0" borderId="0" xfId="80" applyFont="1" applyBorder="1" applyAlignment="1">
      <alignment vertical="top"/>
    </xf>
    <xf numFmtId="0" fontId="44" fillId="0" borderId="0" xfId="80" applyFont="1" applyBorder="1"/>
    <xf numFmtId="0" fontId="44" fillId="0" borderId="0" xfId="80" applyFont="1" applyAlignment="1"/>
    <xf numFmtId="1" fontId="44" fillId="0" borderId="21" xfId="105" applyNumberFormat="1" applyFont="1" applyFill="1" applyBorder="1" applyAlignment="1">
      <alignment horizontal="left" vertical="center"/>
    </xf>
    <xf numFmtId="0" fontId="49" fillId="0" borderId="0" xfId="0" applyFont="1" applyFill="1" applyBorder="1" applyAlignment="1" applyProtection="1">
      <alignment horizontal="left"/>
    </xf>
    <xf numFmtId="49" fontId="49" fillId="0" borderId="0" xfId="0" applyNumberFormat="1" applyFont="1" applyFill="1" applyBorder="1" applyAlignment="1" applyProtection="1">
      <alignment horizontal="right"/>
      <protection hidden="1"/>
    </xf>
    <xf numFmtId="0" fontId="49" fillId="0" borderId="0" xfId="0" applyFont="1" applyFill="1" applyBorder="1" applyAlignment="1" applyProtection="1">
      <alignment horizontal="center"/>
      <protection hidden="1"/>
    </xf>
    <xf numFmtId="165" fontId="49" fillId="0" borderId="0" xfId="101" applyFont="1" applyFill="1" applyBorder="1" applyProtection="1">
      <protection hidden="1"/>
    </xf>
    <xf numFmtId="165" fontId="49" fillId="0" borderId="0" xfId="101" applyFont="1" applyFill="1" applyBorder="1" applyAlignment="1" applyProtection="1">
      <alignment horizontal="left"/>
      <protection locked="0"/>
    </xf>
    <xf numFmtId="49" fontId="49" fillId="0" borderId="0" xfId="0" applyNumberFormat="1" applyFont="1" applyFill="1" applyBorder="1" applyAlignment="1" applyProtection="1">
      <alignment horizontal="center"/>
    </xf>
    <xf numFmtId="0" fontId="49" fillId="0" borderId="0" xfId="0" applyFont="1" applyFill="1" applyBorder="1"/>
    <xf numFmtId="49" fontId="49" fillId="0" borderId="0" xfId="0" applyNumberFormat="1" applyFont="1" applyFill="1" applyBorder="1" applyProtection="1">
      <protection hidden="1"/>
    </xf>
    <xf numFmtId="0" fontId="49" fillId="0" borderId="0" xfId="0" applyFont="1" applyFill="1" applyBorder="1" applyAlignment="1" applyProtection="1">
      <alignment horizontal="right"/>
      <protection locked="0"/>
    </xf>
    <xf numFmtId="165" fontId="49" fillId="0" borderId="0" xfId="101" applyFont="1" applyFill="1" applyBorder="1" applyAlignment="1" applyProtection="1">
      <alignment horizontal="right"/>
      <protection locked="0"/>
    </xf>
    <xf numFmtId="165" fontId="49" fillId="0" borderId="0" xfId="101" applyFont="1" applyFill="1" applyBorder="1" applyAlignment="1" applyProtection="1">
      <alignment horizontal="left"/>
      <protection hidden="1"/>
    </xf>
    <xf numFmtId="49" fontId="49" fillId="0" borderId="0" xfId="0" applyNumberFormat="1" applyFont="1" applyFill="1" applyBorder="1" applyAlignment="1" applyProtection="1">
      <alignment horizontal="center"/>
      <protection locked="0"/>
    </xf>
    <xf numFmtId="0" fontId="49" fillId="0" borderId="0" xfId="0" applyFont="1" applyFill="1" applyBorder="1" applyProtection="1">
      <protection hidden="1"/>
    </xf>
    <xf numFmtId="0" fontId="49" fillId="0" borderId="0" xfId="0" applyFont="1" applyFill="1" applyBorder="1" applyAlignment="1" applyProtection="1">
      <alignment horizontal="center"/>
    </xf>
    <xf numFmtId="0" fontId="49" fillId="0" borderId="0" xfId="0" applyFont="1" applyFill="1" applyBorder="1" applyAlignment="1" applyProtection="1"/>
    <xf numFmtId="182" fontId="49" fillId="0" borderId="0" xfId="0" applyNumberFormat="1" applyFont="1" applyFill="1" applyBorder="1" applyAlignment="1" applyProtection="1">
      <alignment horizontal="center"/>
      <protection locked="0"/>
    </xf>
    <xf numFmtId="0" fontId="49" fillId="0" borderId="0" xfId="0" applyFont="1" applyFill="1" applyBorder="1" applyAlignment="1" applyProtection="1">
      <alignment horizontal="left" indent="1"/>
      <protection locked="0"/>
    </xf>
    <xf numFmtId="165" fontId="49" fillId="0" borderId="0" xfId="101" applyFont="1" applyFill="1" applyBorder="1" applyAlignment="1" applyProtection="1">
      <alignment horizontal="left" indent="1"/>
    </xf>
    <xf numFmtId="0" fontId="49" fillId="0" borderId="0" xfId="0" applyFont="1" applyFill="1"/>
    <xf numFmtId="49" fontId="49" fillId="0" borderId="0" xfId="0" applyNumberFormat="1" applyFont="1" applyFill="1"/>
    <xf numFmtId="165" fontId="49" fillId="0" borderId="0" xfId="101" applyFont="1" applyFill="1"/>
    <xf numFmtId="49" fontId="49" fillId="0" borderId="0" xfId="0" applyNumberFormat="1" applyFont="1" applyFill="1" applyAlignment="1">
      <alignment horizontal="center"/>
    </xf>
    <xf numFmtId="0" fontId="52" fillId="0" borderId="0" xfId="0" applyFont="1" applyFill="1" applyBorder="1"/>
    <xf numFmtId="4" fontId="51" fillId="0" borderId="9" xfId="101" applyNumberFormat="1" applyFont="1" applyFill="1" applyBorder="1" applyAlignment="1" applyProtection="1">
      <alignment horizontal="center" vertical="top"/>
      <protection hidden="1"/>
    </xf>
    <xf numFmtId="165" fontId="51" fillId="0" borderId="9" xfId="101" applyFont="1" applyFill="1" applyBorder="1" applyAlignment="1" applyProtection="1">
      <alignment horizontal="center" vertical="top"/>
      <protection hidden="1"/>
    </xf>
    <xf numFmtId="165" fontId="51" fillId="0" borderId="9" xfId="101" applyNumberFormat="1" applyFont="1" applyFill="1" applyBorder="1" applyAlignment="1" applyProtection="1">
      <alignment horizontal="center" vertical="top"/>
      <protection hidden="1"/>
    </xf>
    <xf numFmtId="0" fontId="51" fillId="0" borderId="9" xfId="0" applyFont="1" applyFill="1" applyBorder="1" applyAlignment="1">
      <alignment horizontal="center" vertical="center"/>
    </xf>
    <xf numFmtId="49" fontId="51" fillId="0" borderId="9" xfId="0" applyNumberFormat="1" applyFont="1" applyFill="1" applyBorder="1" applyAlignment="1">
      <alignment horizontal="center" vertical="center"/>
    </xf>
    <xf numFmtId="3" fontId="51" fillId="0" borderId="19" xfId="0" applyNumberFormat="1" applyFont="1" applyFill="1" applyBorder="1" applyAlignment="1">
      <alignment horizontal="center" vertical="center"/>
    </xf>
    <xf numFmtId="0" fontId="51" fillId="0" borderId="16" xfId="0" applyFont="1" applyFill="1" applyBorder="1" applyAlignment="1">
      <alignment horizontal="right" vertical="center"/>
    </xf>
    <xf numFmtId="3" fontId="52" fillId="0" borderId="16" xfId="101" applyNumberFormat="1" applyFont="1" applyFill="1" applyBorder="1" applyAlignment="1">
      <alignment horizontal="center" vertical="center"/>
    </xf>
    <xf numFmtId="4" fontId="52" fillId="0" borderId="16" xfId="101" applyNumberFormat="1" applyFont="1" applyFill="1" applyBorder="1" applyAlignment="1">
      <alignment horizontal="right" vertical="center"/>
    </xf>
    <xf numFmtId="3" fontId="52" fillId="0" borderId="16" xfId="101" applyNumberFormat="1" applyFont="1" applyFill="1" applyBorder="1" applyAlignment="1">
      <alignment horizontal="right" vertical="center"/>
    </xf>
    <xf numFmtId="165" fontId="52" fillId="0" borderId="16" xfId="101" applyNumberFormat="1" applyFont="1" applyFill="1" applyBorder="1" applyAlignment="1">
      <alignment horizontal="right" vertical="center"/>
    </xf>
    <xf numFmtId="3" fontId="51" fillId="0" borderId="16" xfId="101" applyNumberFormat="1" applyFont="1" applyFill="1" applyBorder="1" applyAlignment="1">
      <alignment horizontal="right" vertical="center"/>
    </xf>
    <xf numFmtId="3" fontId="51" fillId="0" borderId="16" xfId="0" applyNumberFormat="1" applyFont="1" applyFill="1" applyBorder="1" applyAlignment="1">
      <alignment horizontal="right" vertical="center"/>
    </xf>
    <xf numFmtId="49" fontId="52" fillId="0" borderId="47" xfId="0" applyNumberFormat="1" applyFont="1" applyFill="1" applyBorder="1" applyAlignment="1">
      <alignment horizontal="center"/>
    </xf>
    <xf numFmtId="0" fontId="51" fillId="0" borderId="47" xfId="0" applyFont="1" applyFill="1" applyBorder="1" applyAlignment="1">
      <alignment horizontal="right" vertical="center"/>
    </xf>
    <xf numFmtId="3" fontId="51" fillId="0" borderId="50" xfId="0" applyNumberFormat="1" applyFont="1" applyFill="1" applyBorder="1" applyAlignment="1">
      <alignment horizontal="right" vertical="center"/>
    </xf>
    <xf numFmtId="4" fontId="51" fillId="0" borderId="50" xfId="0" applyNumberFormat="1" applyFont="1" applyFill="1" applyBorder="1" applyAlignment="1">
      <alignment horizontal="right" vertical="center"/>
    </xf>
    <xf numFmtId="0" fontId="52" fillId="0" borderId="14" xfId="0" applyFont="1" applyFill="1" applyBorder="1" applyAlignment="1">
      <alignment horizontal="center" vertical="center"/>
    </xf>
    <xf numFmtId="49" fontId="52" fillId="0" borderId="14" xfId="104" applyNumberFormat="1" applyFont="1" applyBorder="1" applyAlignment="1"/>
    <xf numFmtId="3" fontId="51" fillId="0" borderId="41" xfId="0" applyNumberFormat="1" applyFont="1" applyFill="1" applyBorder="1" applyAlignment="1">
      <alignment horizontal="center" vertical="center"/>
    </xf>
    <xf numFmtId="0" fontId="51" fillId="0" borderId="26" xfId="0" applyFont="1" applyFill="1" applyBorder="1" applyAlignment="1">
      <alignment horizontal="right" vertical="center"/>
    </xf>
    <xf numFmtId="3" fontId="52" fillId="0" borderId="14" xfId="101" applyNumberFormat="1" applyFont="1" applyFill="1" applyBorder="1" applyAlignment="1">
      <alignment horizontal="center" vertical="center"/>
    </xf>
    <xf numFmtId="4" fontId="52" fillId="0" borderId="14" xfId="101" applyNumberFormat="1" applyFont="1" applyFill="1" applyBorder="1" applyAlignment="1">
      <alignment horizontal="right" vertical="center"/>
    </xf>
    <xf numFmtId="3" fontId="52" fillId="0" borderId="14" xfId="101" applyNumberFormat="1" applyFont="1" applyFill="1" applyBorder="1" applyAlignment="1">
      <alignment horizontal="right" vertical="center"/>
    </xf>
    <xf numFmtId="165" fontId="52" fillId="0" borderId="14" xfId="101" applyNumberFormat="1" applyFont="1" applyFill="1" applyBorder="1" applyAlignment="1">
      <alignment horizontal="right" vertical="center"/>
    </xf>
    <xf numFmtId="3" fontId="51" fillId="0" borderId="14" xfId="101" applyNumberFormat="1" applyFont="1" applyFill="1" applyBorder="1" applyAlignment="1">
      <alignment horizontal="right" vertical="center"/>
    </xf>
    <xf numFmtId="3" fontId="51" fillId="0" borderId="14" xfId="0" applyNumberFormat="1" applyFont="1" applyFill="1" applyBorder="1" applyAlignment="1">
      <alignment horizontal="right" vertical="center"/>
    </xf>
    <xf numFmtId="49" fontId="52" fillId="0" borderId="27" xfId="0" applyNumberFormat="1" applyFont="1" applyFill="1" applyBorder="1" applyAlignment="1">
      <alignment horizontal="center"/>
    </xf>
    <xf numFmtId="0" fontId="51" fillId="0" borderId="24" xfId="0" applyFont="1" applyFill="1" applyBorder="1" applyAlignment="1">
      <alignment horizontal="right" vertical="center"/>
    </xf>
    <xf numFmtId="3" fontId="51" fillId="0" borderId="51" xfId="0" applyNumberFormat="1" applyFont="1" applyFill="1" applyBorder="1" applyAlignment="1">
      <alignment horizontal="right" vertical="center"/>
    </xf>
    <xf numFmtId="4" fontId="51" fillId="0" borderId="51" xfId="0" applyNumberFormat="1" applyFont="1" applyFill="1" applyBorder="1" applyAlignment="1">
      <alignment horizontal="right" vertical="center"/>
    </xf>
    <xf numFmtId="0" fontId="52" fillId="0" borderId="20" xfId="0" applyFont="1" applyFill="1" applyBorder="1" applyAlignment="1">
      <alignment horizontal="center" vertical="center"/>
    </xf>
    <xf numFmtId="3" fontId="52" fillId="0" borderId="32" xfId="0" applyNumberFormat="1" applyFont="1" applyFill="1" applyBorder="1" applyAlignment="1">
      <alignment horizontal="right" vertical="center"/>
    </xf>
    <xf numFmtId="165" fontId="52" fillId="27" borderId="32" xfId="106" applyNumberFormat="1" applyFont="1" applyFill="1" applyBorder="1" applyAlignment="1">
      <alignment horizontal="right" vertical="center"/>
    </xf>
    <xf numFmtId="3" fontId="52" fillId="0" borderId="20" xfId="101" applyNumberFormat="1" applyFont="1" applyFill="1" applyBorder="1" applyAlignment="1">
      <alignment horizontal="center" vertical="center"/>
    </xf>
    <xf numFmtId="4" fontId="52" fillId="0" borderId="20" xfId="101" applyNumberFormat="1" applyFont="1" applyFill="1" applyBorder="1" applyAlignment="1">
      <alignment horizontal="right" vertical="center"/>
    </xf>
    <xf numFmtId="165" fontId="52" fillId="0" borderId="20" xfId="101" applyNumberFormat="1" applyFont="1" applyFill="1" applyBorder="1" applyAlignment="1">
      <alignment horizontal="right" vertical="center"/>
    </xf>
    <xf numFmtId="49" fontId="51" fillId="0" borderId="44" xfId="0" applyNumberFormat="1" applyFont="1" applyFill="1" applyBorder="1" applyAlignment="1">
      <alignment horizontal="center" vertical="center"/>
    </xf>
    <xf numFmtId="165" fontId="52" fillId="27" borderId="31" xfId="106" applyNumberFormat="1" applyFont="1" applyFill="1" applyBorder="1" applyAlignment="1">
      <alignment horizontal="right" vertical="center"/>
    </xf>
    <xf numFmtId="3" fontId="52" fillId="0" borderId="20" xfId="101" applyNumberFormat="1" applyFont="1" applyFill="1" applyBorder="1" applyAlignment="1">
      <alignment horizontal="right" vertical="center"/>
    </xf>
    <xf numFmtId="4" fontId="52" fillId="0" borderId="52" xfId="101" applyNumberFormat="1" applyFont="1" applyFill="1" applyBorder="1" applyAlignment="1">
      <alignment horizontal="right" vertical="center"/>
    </xf>
    <xf numFmtId="166" fontId="52" fillId="0" borderId="26" xfId="101" applyNumberFormat="1" applyFont="1" applyFill="1" applyBorder="1" applyAlignment="1">
      <alignment horizontal="center" vertical="center"/>
    </xf>
    <xf numFmtId="3" fontId="52" fillId="0" borderId="14" xfId="0" applyNumberFormat="1" applyFont="1" applyFill="1" applyBorder="1" applyAlignment="1">
      <alignment horizontal="center" vertical="center"/>
    </xf>
    <xf numFmtId="4" fontId="52" fillId="0" borderId="51" xfId="101" applyNumberFormat="1" applyFont="1" applyFill="1" applyBorder="1" applyAlignment="1">
      <alignment horizontal="right" vertical="center"/>
    </xf>
    <xf numFmtId="4" fontId="52" fillId="0" borderId="14" xfId="101" applyNumberFormat="1" applyFont="1" applyFill="1" applyBorder="1" applyAlignment="1" applyProtection="1">
      <alignment horizontal="right" vertical="center"/>
      <protection locked="0"/>
    </xf>
    <xf numFmtId="49" fontId="52" fillId="0" borderId="27" xfId="101" applyNumberFormat="1" applyFont="1" applyFill="1" applyBorder="1" applyAlignment="1">
      <alignment horizontal="center" vertical="center"/>
    </xf>
    <xf numFmtId="49" fontId="52" fillId="0" borderId="14" xfId="105" applyNumberFormat="1" applyFont="1" applyBorder="1" applyAlignment="1"/>
    <xf numFmtId="49" fontId="52" fillId="0" borderId="20" xfId="104" applyNumberFormat="1" applyFont="1" applyBorder="1" applyAlignment="1"/>
    <xf numFmtId="166" fontId="52" fillId="0" borderId="26" xfId="101" applyNumberFormat="1" applyFont="1" applyFill="1" applyBorder="1" applyAlignment="1">
      <alignment horizontal="right" vertical="center"/>
    </xf>
    <xf numFmtId="0" fontId="52" fillId="0" borderId="17" xfId="0" applyFont="1" applyFill="1" applyBorder="1" applyAlignment="1">
      <alignment horizontal="center" vertical="center"/>
    </xf>
    <xf numFmtId="3" fontId="52" fillId="0" borderId="26" xfId="101" applyNumberFormat="1" applyFont="1" applyFill="1" applyBorder="1" applyAlignment="1">
      <alignment horizontal="right" vertical="center"/>
    </xf>
    <xf numFmtId="165" fontId="52" fillId="27" borderId="26" xfId="106" applyNumberFormat="1" applyFont="1" applyFill="1" applyBorder="1" applyAlignment="1">
      <alignment horizontal="right" vertical="center"/>
    </xf>
    <xf numFmtId="165" fontId="52" fillId="27" borderId="24" xfId="106" applyNumberFormat="1" applyFont="1" applyFill="1" applyBorder="1" applyAlignment="1">
      <alignment horizontal="right" vertical="center"/>
    </xf>
    <xf numFmtId="165" fontId="52" fillId="0" borderId="0" xfId="101" applyFont="1" applyFill="1" applyBorder="1"/>
    <xf numFmtId="165" fontId="52" fillId="0" borderId="0" xfId="0" applyNumberFormat="1" applyFont="1" applyFill="1" applyBorder="1"/>
    <xf numFmtId="166" fontId="52" fillId="0" borderId="34" xfId="101" applyNumberFormat="1" applyFont="1" applyFill="1" applyBorder="1" applyAlignment="1">
      <alignment horizontal="center" vertical="center"/>
    </xf>
    <xf numFmtId="49" fontId="52" fillId="0" borderId="40" xfId="101" applyNumberFormat="1" applyFont="1" applyFill="1" applyBorder="1" applyAlignment="1">
      <alignment horizontal="center" vertical="center"/>
    </xf>
    <xf numFmtId="165" fontId="52" fillId="0" borderId="51" xfId="101" applyNumberFormat="1" applyFont="1" applyFill="1" applyBorder="1" applyAlignment="1">
      <alignment horizontal="right" vertical="center"/>
    </xf>
    <xf numFmtId="0" fontId="51" fillId="0" borderId="14" xfId="0" applyFont="1" applyFill="1" applyBorder="1" applyAlignment="1">
      <alignment horizontal="center" vertical="center"/>
    </xf>
    <xf numFmtId="166" fontId="52" fillId="0" borderId="37" xfId="101" applyNumberFormat="1" applyFont="1" applyFill="1" applyBorder="1" applyAlignment="1">
      <alignment horizontal="center" vertical="center"/>
    </xf>
    <xf numFmtId="165" fontId="52" fillId="27" borderId="14" xfId="106" applyNumberFormat="1" applyFont="1" applyFill="1" applyBorder="1" applyAlignment="1">
      <alignment horizontal="right" vertical="center"/>
    </xf>
    <xf numFmtId="165" fontId="52" fillId="27" borderId="27" xfId="106" applyNumberFormat="1" applyFont="1" applyFill="1" applyBorder="1" applyAlignment="1">
      <alignment horizontal="right" vertical="center"/>
    </xf>
    <xf numFmtId="3" fontId="52" fillId="0" borderId="14" xfId="0" applyNumberFormat="1" applyFont="1" applyFill="1" applyBorder="1" applyAlignment="1">
      <alignment horizontal="right" vertical="center"/>
    </xf>
    <xf numFmtId="0" fontId="51" fillId="0" borderId="20" xfId="0" applyFont="1" applyFill="1" applyBorder="1" applyAlignment="1">
      <alignment horizontal="center" vertical="center"/>
    </xf>
    <xf numFmtId="1" fontId="52" fillId="0" borderId="14" xfId="104" applyNumberFormat="1" applyFont="1" applyBorder="1" applyAlignment="1">
      <alignment vertical="center"/>
    </xf>
    <xf numFmtId="166" fontId="51" fillId="0" borderId="19" xfId="101" applyNumberFormat="1" applyFont="1" applyFill="1" applyBorder="1" applyAlignment="1">
      <alignment horizontal="center" vertical="center"/>
    </xf>
    <xf numFmtId="4" fontId="51" fillId="0" borderId="14" xfId="101" applyNumberFormat="1" applyFont="1" applyFill="1" applyBorder="1" applyAlignment="1">
      <alignment horizontal="right" vertical="center"/>
    </xf>
    <xf numFmtId="165" fontId="51" fillId="0" borderId="14" xfId="101" applyNumberFormat="1" applyFont="1" applyFill="1" applyBorder="1" applyAlignment="1">
      <alignment horizontal="right" vertical="center"/>
    </xf>
    <xf numFmtId="3" fontId="52" fillId="0" borderId="20" xfId="0" applyNumberFormat="1" applyFont="1" applyFill="1" applyBorder="1" applyAlignment="1">
      <alignment horizontal="center" vertical="center"/>
    </xf>
    <xf numFmtId="3" fontId="52" fillId="0" borderId="20" xfId="0" applyNumberFormat="1" applyFont="1" applyFill="1" applyBorder="1" applyAlignment="1">
      <alignment horizontal="right" vertical="center"/>
    </xf>
    <xf numFmtId="1" fontId="52" fillId="0" borderId="20" xfId="105" applyNumberFormat="1" applyFont="1" applyBorder="1" applyAlignment="1">
      <alignment vertical="center"/>
    </xf>
    <xf numFmtId="1" fontId="52" fillId="0" borderId="14" xfId="105" applyNumberFormat="1" applyFont="1" applyBorder="1" applyAlignment="1">
      <alignment vertical="center"/>
    </xf>
    <xf numFmtId="166" fontId="52" fillId="0" borderId="32" xfId="101" applyNumberFormat="1" applyFont="1" applyFill="1" applyBorder="1" applyAlignment="1">
      <alignment horizontal="center" vertical="center"/>
    </xf>
    <xf numFmtId="165" fontId="52" fillId="0" borderId="14" xfId="101" applyNumberFormat="1" applyFont="1" applyFill="1" applyBorder="1" applyAlignment="1" applyProtection="1">
      <alignment vertical="center"/>
      <protection locked="0"/>
    </xf>
    <xf numFmtId="49" fontId="51" fillId="0" borderId="27" xfId="101" applyNumberFormat="1" applyFont="1" applyFill="1" applyBorder="1" applyAlignment="1">
      <alignment horizontal="center" vertical="center"/>
    </xf>
    <xf numFmtId="0" fontId="51" fillId="0" borderId="21" xfId="0" applyFont="1" applyFill="1" applyBorder="1" applyAlignment="1">
      <alignment horizontal="center" vertical="center"/>
    </xf>
    <xf numFmtId="49" fontId="52" fillId="0" borderId="21" xfId="104" applyNumberFormat="1" applyFont="1" applyBorder="1" applyAlignment="1"/>
    <xf numFmtId="3" fontId="52" fillId="0" borderId="34" xfId="101" applyNumberFormat="1" applyFont="1" applyFill="1" applyBorder="1" applyAlignment="1">
      <alignment horizontal="right" vertical="center"/>
    </xf>
    <xf numFmtId="165" fontId="52" fillId="27" borderId="41" xfId="106" applyNumberFormat="1" applyFont="1" applyFill="1" applyBorder="1" applyAlignment="1">
      <alignment horizontal="right" vertical="center"/>
    </xf>
    <xf numFmtId="3" fontId="52" fillId="0" borderId="17" xfId="0" applyNumberFormat="1" applyFont="1" applyFill="1" applyBorder="1" applyAlignment="1">
      <alignment horizontal="center" vertical="center"/>
    </xf>
    <xf numFmtId="4" fontId="52" fillId="0" borderId="17" xfId="101" applyNumberFormat="1" applyFont="1" applyFill="1" applyBorder="1" applyAlignment="1" applyProtection="1">
      <alignment horizontal="right" vertical="center"/>
      <protection locked="0"/>
    </xf>
    <xf numFmtId="165" fontId="52" fillId="0" borderId="17" xfId="101" applyNumberFormat="1" applyFont="1" applyFill="1" applyBorder="1" applyAlignment="1">
      <alignment horizontal="right" vertical="center"/>
    </xf>
    <xf numFmtId="165" fontId="52" fillId="27" borderId="0" xfId="106" applyNumberFormat="1" applyFont="1" applyFill="1" applyBorder="1" applyAlignment="1">
      <alignment horizontal="right" vertical="center"/>
    </xf>
    <xf numFmtId="4" fontId="52" fillId="0" borderId="53" xfId="101" applyNumberFormat="1" applyFont="1" applyFill="1" applyBorder="1" applyAlignment="1">
      <alignment horizontal="right" vertical="center"/>
    </xf>
    <xf numFmtId="0" fontId="51" fillId="0" borderId="9" xfId="0" applyFont="1" applyFill="1" applyBorder="1" applyAlignment="1">
      <alignment horizontal="right" vertical="center"/>
    </xf>
    <xf numFmtId="3" fontId="51" fillId="0" borderId="9" xfId="0" applyNumberFormat="1" applyFont="1" applyFill="1" applyBorder="1" applyAlignment="1">
      <alignment horizontal="center" vertical="center"/>
    </xf>
    <xf numFmtId="4" fontId="51" fillId="0" borderId="9" xfId="101" applyNumberFormat="1" applyFont="1" applyFill="1" applyBorder="1" applyAlignment="1">
      <alignment horizontal="right" vertical="center"/>
    </xf>
    <xf numFmtId="165" fontId="51" fillId="0" borderId="9" xfId="101" applyFont="1" applyFill="1" applyBorder="1" applyAlignment="1">
      <alignment horizontal="right" vertical="center"/>
    </xf>
    <xf numFmtId="165" fontId="51" fillId="0" borderId="9" xfId="101" applyNumberFormat="1" applyFont="1" applyFill="1" applyBorder="1" applyAlignment="1">
      <alignment horizontal="right" vertical="center"/>
    </xf>
    <xf numFmtId="49" fontId="51" fillId="0" borderId="18" xfId="101" applyNumberFormat="1" applyFont="1" applyFill="1" applyBorder="1" applyAlignment="1">
      <alignment horizontal="center" vertical="center"/>
    </xf>
    <xf numFmtId="0" fontId="51" fillId="0" borderId="18" xfId="0" applyFont="1" applyFill="1" applyBorder="1" applyAlignment="1">
      <alignment horizontal="right" vertical="center"/>
    </xf>
    <xf numFmtId="3" fontId="51" fillId="0" borderId="9" xfId="0" applyNumberFormat="1" applyFont="1" applyFill="1" applyBorder="1" applyAlignment="1">
      <alignment horizontal="right" vertical="center"/>
    </xf>
    <xf numFmtId="4" fontId="52" fillId="0" borderId="19" xfId="101" applyNumberFormat="1" applyFont="1" applyFill="1" applyBorder="1" applyAlignment="1">
      <alignment horizontal="right" vertical="center"/>
    </xf>
    <xf numFmtId="4" fontId="52" fillId="0" borderId="9" xfId="101" applyNumberFormat="1" applyFont="1" applyFill="1" applyBorder="1" applyAlignment="1">
      <alignment horizontal="right" vertical="center"/>
    </xf>
    <xf numFmtId="49" fontId="51" fillId="0" borderId="20" xfId="0" applyNumberFormat="1" applyFont="1" applyFill="1" applyBorder="1" applyAlignment="1">
      <alignment horizontal="left" vertical="center"/>
    </xf>
    <xf numFmtId="0" fontId="52" fillId="0" borderId="20" xfId="0" applyFont="1" applyFill="1" applyBorder="1" applyAlignment="1">
      <alignment horizontal="right" vertical="center"/>
    </xf>
    <xf numFmtId="3" fontId="51" fillId="0" borderId="20" xfId="0" applyNumberFormat="1" applyFont="1" applyFill="1" applyBorder="1" applyAlignment="1">
      <alignment horizontal="right" vertical="center"/>
    </xf>
    <xf numFmtId="49" fontId="52" fillId="0" borderId="44" xfId="101" applyNumberFormat="1" applyFont="1" applyFill="1" applyBorder="1" applyAlignment="1">
      <alignment horizontal="center" vertical="center"/>
    </xf>
    <xf numFmtId="49" fontId="52" fillId="0" borderId="14" xfId="0" applyNumberFormat="1" applyFont="1" applyFill="1" applyBorder="1" applyAlignment="1">
      <alignment horizontal="left" vertical="center"/>
    </xf>
    <xf numFmtId="0" fontId="53" fillId="0" borderId="14" xfId="0" applyFont="1" applyFill="1" applyBorder="1" applyAlignment="1">
      <alignment horizontal="center" vertical="center"/>
    </xf>
    <xf numFmtId="49" fontId="53" fillId="0" borderId="14" xfId="0" applyNumberFormat="1" applyFont="1" applyFill="1" applyBorder="1" applyAlignment="1">
      <alignment horizontal="left" vertical="center"/>
    </xf>
    <xf numFmtId="166" fontId="53" fillId="0" borderId="26" xfId="101" applyNumberFormat="1" applyFont="1" applyFill="1" applyBorder="1" applyAlignment="1">
      <alignment horizontal="center" vertical="center"/>
    </xf>
    <xf numFmtId="165" fontId="53" fillId="0" borderId="14" xfId="101" applyNumberFormat="1" applyFont="1" applyFill="1" applyBorder="1" applyAlignment="1">
      <alignment horizontal="right" vertical="center"/>
    </xf>
    <xf numFmtId="3" fontId="53" fillId="0" borderId="14" xfId="0" applyNumberFormat="1" applyFont="1" applyFill="1" applyBorder="1" applyAlignment="1">
      <alignment horizontal="center" vertical="center"/>
    </xf>
    <xf numFmtId="165" fontId="53" fillId="0" borderId="14" xfId="101" applyFont="1" applyFill="1" applyBorder="1" applyAlignment="1" applyProtection="1">
      <alignment horizontal="right" vertical="center"/>
      <protection locked="0"/>
    </xf>
    <xf numFmtId="4" fontId="53" fillId="0" borderId="14" xfId="101" applyNumberFormat="1" applyFont="1" applyFill="1" applyBorder="1" applyAlignment="1">
      <alignment horizontal="right" vertical="center"/>
    </xf>
    <xf numFmtId="49" fontId="54" fillId="0" borderId="44" xfId="0" applyNumberFormat="1" applyFont="1" applyFill="1" applyBorder="1" applyAlignment="1">
      <alignment horizontal="center" vertical="center"/>
    </xf>
    <xf numFmtId="0" fontId="53" fillId="0" borderId="0" xfId="0" applyFont="1" applyFill="1" applyBorder="1"/>
    <xf numFmtId="165" fontId="53" fillId="0" borderId="0" xfId="0" applyNumberFormat="1" applyFont="1" applyFill="1" applyBorder="1"/>
    <xf numFmtId="165" fontId="52" fillId="0" borderId="14" xfId="101" applyFont="1" applyFill="1" applyBorder="1" applyAlignment="1" applyProtection="1">
      <alignment horizontal="right" vertical="center"/>
      <protection locked="0"/>
    </xf>
    <xf numFmtId="49" fontId="52" fillId="0" borderId="44" xfId="0" applyNumberFormat="1" applyFont="1" applyFill="1" applyBorder="1" applyAlignment="1">
      <alignment horizontal="center" vertical="center"/>
    </xf>
    <xf numFmtId="0" fontId="51" fillId="0" borderId="15" xfId="0" applyFont="1" applyFill="1" applyBorder="1" applyAlignment="1">
      <alignment horizontal="center" vertical="center"/>
    </xf>
    <xf numFmtId="0" fontId="52" fillId="0" borderId="9" xfId="0" applyFont="1" applyFill="1" applyBorder="1" applyAlignment="1">
      <alignment horizontal="center" vertical="center"/>
    </xf>
    <xf numFmtId="166" fontId="51" fillId="0" borderId="26" xfId="101" applyNumberFormat="1" applyFont="1" applyFill="1" applyBorder="1" applyAlignment="1">
      <alignment horizontal="center" vertical="center"/>
    </xf>
    <xf numFmtId="0" fontId="52" fillId="0" borderId="21" xfId="0" applyFont="1" applyFill="1" applyBorder="1" applyAlignment="1">
      <alignment horizontal="center" vertical="center"/>
    </xf>
    <xf numFmtId="49" fontId="51" fillId="0" borderId="21" xfId="0" applyNumberFormat="1" applyFont="1" applyFill="1" applyBorder="1" applyAlignment="1">
      <alignment horizontal="center" vertical="center"/>
    </xf>
    <xf numFmtId="166" fontId="51" fillId="0" borderId="41" xfId="101" applyNumberFormat="1" applyFont="1" applyFill="1" applyBorder="1" applyAlignment="1">
      <alignment horizontal="center" vertical="center"/>
    </xf>
    <xf numFmtId="0" fontId="51" fillId="0" borderId="21" xfId="0" applyFont="1" applyFill="1" applyBorder="1" applyAlignment="1">
      <alignment horizontal="right" vertical="center"/>
    </xf>
    <xf numFmtId="3" fontId="51" fillId="0" borderId="21" xfId="0" applyNumberFormat="1" applyFont="1" applyFill="1" applyBorder="1" applyAlignment="1">
      <alignment horizontal="center" vertical="center"/>
    </xf>
    <xf numFmtId="4" fontId="51" fillId="0" borderId="21" xfId="101" applyNumberFormat="1" applyFont="1" applyFill="1" applyBorder="1" applyAlignment="1">
      <alignment horizontal="right" vertical="center"/>
    </xf>
    <xf numFmtId="3" fontId="51" fillId="0" borderId="21" xfId="101" applyNumberFormat="1" applyFont="1" applyFill="1" applyBorder="1" applyAlignment="1">
      <alignment horizontal="right" vertical="center"/>
    </xf>
    <xf numFmtId="165" fontId="51" fillId="0" borderId="21" xfId="101" applyNumberFormat="1" applyFont="1" applyFill="1" applyBorder="1" applyAlignment="1">
      <alignment horizontal="right" vertical="center"/>
    </xf>
    <xf numFmtId="49" fontId="51" fillId="0" borderId="42" xfId="101" applyNumberFormat="1" applyFont="1" applyFill="1" applyBorder="1" applyAlignment="1">
      <alignment horizontal="center" vertical="center"/>
    </xf>
    <xf numFmtId="0" fontId="52" fillId="0" borderId="0" xfId="0" applyFont="1" applyFill="1"/>
    <xf numFmtId="49" fontId="52" fillId="0" borderId="0" xfId="0" applyNumberFormat="1" applyFont="1" applyFill="1"/>
    <xf numFmtId="0" fontId="52" fillId="0" borderId="0" xfId="0" applyFont="1" applyFill="1" applyAlignment="1">
      <alignment horizontal="center"/>
    </xf>
    <xf numFmtId="4" fontId="52" fillId="0" borderId="0" xfId="101" applyNumberFormat="1" applyFont="1" applyFill="1"/>
    <xf numFmtId="165" fontId="52" fillId="0" borderId="0" xfId="101" applyFont="1" applyFill="1"/>
    <xf numFmtId="165" fontId="52" fillId="0" borderId="0" xfId="101" applyNumberFormat="1" applyFont="1" applyFill="1"/>
    <xf numFmtId="49" fontId="52" fillId="0" borderId="0" xfId="0" applyNumberFormat="1" applyFont="1" applyFill="1" applyAlignment="1">
      <alignment horizontal="center"/>
    </xf>
    <xf numFmtId="0" fontId="49" fillId="0" borderId="0" xfId="0" applyFont="1" applyFill="1" applyBorder="1" applyAlignment="1" applyProtection="1">
      <alignment horizontal="right"/>
      <protection hidden="1"/>
    </xf>
    <xf numFmtId="165" fontId="52" fillId="0" borderId="0" xfId="101" applyFont="1" applyFill="1" applyBorder="1" applyAlignment="1" applyProtection="1">
      <alignment horizontal="right"/>
      <protection hidden="1"/>
    </xf>
    <xf numFmtId="165" fontId="52" fillId="0" borderId="0" xfId="101" applyFont="1" applyFill="1" applyBorder="1" applyProtection="1">
      <protection hidden="1"/>
    </xf>
    <xf numFmtId="49" fontId="49" fillId="0" borderId="0" xfId="0" applyNumberFormat="1" applyFont="1" applyFill="1" applyBorder="1" applyProtection="1"/>
    <xf numFmtId="49" fontId="49" fillId="0" borderId="0" xfId="0" applyNumberFormat="1" applyFont="1" applyFill="1" applyBorder="1" applyProtection="1">
      <protection locked="0"/>
    </xf>
    <xf numFmtId="0" fontId="52" fillId="0" borderId="0" xfId="0" applyFont="1" applyFill="1" applyBorder="1" applyAlignment="1" applyProtection="1">
      <alignment horizontal="right"/>
    </xf>
    <xf numFmtId="0" fontId="52" fillId="0" borderId="0" xfId="0" applyFont="1" applyFill="1" applyBorder="1" applyAlignment="1" applyProtection="1">
      <alignment horizontal="left" indent="1"/>
      <protection locked="0"/>
    </xf>
    <xf numFmtId="4" fontId="51" fillId="0" borderId="9" xfId="101" applyNumberFormat="1" applyFont="1" applyFill="1" applyBorder="1" applyAlignment="1" applyProtection="1">
      <alignment horizontal="right" vertical="top"/>
      <protection hidden="1"/>
    </xf>
    <xf numFmtId="3" fontId="52" fillId="0" borderId="9" xfId="101" applyNumberFormat="1" applyFont="1" applyFill="1" applyBorder="1" applyAlignment="1">
      <alignment horizontal="center" vertical="center"/>
    </xf>
    <xf numFmtId="3" fontId="52" fillId="0" borderId="9" xfId="101" applyNumberFormat="1" applyFont="1" applyFill="1" applyBorder="1" applyAlignment="1">
      <alignment horizontal="right" vertical="center"/>
    </xf>
    <xf numFmtId="165" fontId="52" fillId="0" borderId="9" xfId="101" applyNumberFormat="1" applyFont="1" applyFill="1" applyBorder="1" applyAlignment="1">
      <alignment horizontal="right" vertical="center"/>
    </xf>
    <xf numFmtId="3" fontId="51" fillId="0" borderId="9" xfId="101" applyNumberFormat="1" applyFont="1" applyFill="1" applyBorder="1" applyAlignment="1">
      <alignment horizontal="right" vertical="center"/>
    </xf>
    <xf numFmtId="49" fontId="52" fillId="0" borderId="18" xfId="0" applyNumberFormat="1" applyFont="1" applyFill="1" applyBorder="1"/>
    <xf numFmtId="49" fontId="51" fillId="0" borderId="14" xfId="104" applyNumberFormat="1" applyFont="1" applyBorder="1" applyAlignment="1"/>
    <xf numFmtId="49" fontId="51" fillId="0" borderId="27" xfId="0" applyNumberFormat="1" applyFont="1" applyFill="1" applyBorder="1" applyAlignment="1">
      <alignment vertical="center"/>
    </xf>
    <xf numFmtId="49" fontId="52" fillId="0" borderId="14" xfId="104" applyNumberFormat="1" applyFont="1" applyBorder="1" applyAlignment="1">
      <alignment horizontal="left"/>
    </xf>
    <xf numFmtId="165" fontId="52" fillId="28" borderId="14" xfId="0" applyNumberFormat="1" applyFont="1" applyFill="1" applyBorder="1"/>
    <xf numFmtId="165" fontId="52" fillId="0" borderId="14" xfId="0" applyNumberFormat="1" applyFont="1" applyFill="1" applyBorder="1"/>
    <xf numFmtId="49" fontId="52" fillId="0" borderId="17" xfId="104" applyNumberFormat="1" applyFont="1" applyBorder="1" applyAlignment="1"/>
    <xf numFmtId="4" fontId="52" fillId="0" borderId="17" xfId="101" applyNumberFormat="1" applyFont="1" applyFill="1" applyBorder="1" applyAlignment="1">
      <alignment horizontal="right" vertical="center"/>
    </xf>
    <xf numFmtId="49" fontId="51" fillId="0" borderId="40" xfId="101" applyNumberFormat="1" applyFont="1" applyFill="1" applyBorder="1" applyAlignment="1">
      <alignment horizontal="center" vertical="center"/>
    </xf>
    <xf numFmtId="49" fontId="51" fillId="0" borderId="9" xfId="104" applyNumberFormat="1" applyFont="1" applyBorder="1" applyAlignment="1">
      <alignment horizontal="center"/>
    </xf>
    <xf numFmtId="166" fontId="52" fillId="0" borderId="19" xfId="101" applyNumberFormat="1" applyFont="1" applyFill="1" applyBorder="1" applyAlignment="1">
      <alignment horizontal="center" vertical="center"/>
    </xf>
    <xf numFmtId="165" fontId="52" fillId="27" borderId="19" xfId="106" applyNumberFormat="1" applyFont="1" applyFill="1" applyBorder="1" applyAlignment="1">
      <alignment horizontal="right" vertical="center"/>
    </xf>
    <xf numFmtId="3" fontId="52" fillId="0" borderId="9" xfId="0" applyNumberFormat="1" applyFont="1" applyFill="1" applyBorder="1" applyAlignment="1">
      <alignment horizontal="center" vertical="center"/>
    </xf>
    <xf numFmtId="49" fontId="51" fillId="0" borderId="20" xfId="104" applyNumberFormat="1" applyFont="1" applyBorder="1" applyAlignment="1"/>
    <xf numFmtId="49" fontId="52" fillId="0" borderId="44" xfId="101" applyNumberFormat="1" applyFont="1" applyFill="1" applyBorder="1" applyAlignment="1">
      <alignment vertical="center"/>
    </xf>
    <xf numFmtId="166" fontId="52" fillId="0" borderId="19" xfId="101" applyNumberFormat="1" applyFont="1" applyFill="1" applyBorder="1" applyAlignment="1">
      <alignment horizontal="right" vertical="center"/>
    </xf>
    <xf numFmtId="4" fontId="52" fillId="0" borderId="9" xfId="101" applyNumberFormat="1" applyFont="1" applyFill="1" applyBorder="1" applyAlignment="1" applyProtection="1">
      <alignment horizontal="right" vertical="center"/>
      <protection locked="0"/>
    </xf>
    <xf numFmtId="49" fontId="52" fillId="0" borderId="18" xfId="101" applyNumberFormat="1" applyFont="1" applyFill="1" applyBorder="1" applyAlignment="1">
      <alignment horizontal="center" vertical="center"/>
    </xf>
    <xf numFmtId="3" fontId="52" fillId="0" borderId="32" xfId="101" applyNumberFormat="1" applyFont="1" applyFill="1" applyBorder="1" applyAlignment="1">
      <alignment horizontal="right" vertical="center"/>
    </xf>
    <xf numFmtId="0" fontId="52" fillId="0" borderId="29" xfId="0" applyFont="1" applyFill="1" applyBorder="1" applyAlignment="1">
      <alignment horizontal="center" vertical="center"/>
    </xf>
    <xf numFmtId="1" fontId="52" fillId="0" borderId="29" xfId="105" applyNumberFormat="1" applyFont="1" applyBorder="1" applyAlignment="1">
      <alignment vertical="center"/>
    </xf>
    <xf numFmtId="165" fontId="52" fillId="27" borderId="37" xfId="106" applyNumberFormat="1" applyFont="1" applyFill="1" applyBorder="1" applyAlignment="1">
      <alignment horizontal="right" vertical="center"/>
    </xf>
    <xf numFmtId="3" fontId="52" fillId="0" borderId="29" xfId="0" applyNumberFormat="1" applyFont="1" applyFill="1" applyBorder="1" applyAlignment="1">
      <alignment horizontal="center" vertical="center"/>
    </xf>
    <xf numFmtId="4" fontId="52" fillId="0" borderId="29" xfId="101" applyNumberFormat="1" applyFont="1" applyFill="1" applyBorder="1" applyAlignment="1" applyProtection="1">
      <alignment horizontal="right" vertical="center"/>
      <protection locked="0"/>
    </xf>
    <xf numFmtId="4" fontId="52" fillId="0" borderId="29" xfId="101" applyNumberFormat="1" applyFont="1" applyFill="1" applyBorder="1" applyAlignment="1">
      <alignment horizontal="right" vertical="center"/>
    </xf>
    <xf numFmtId="165" fontId="52" fillId="0" borderId="29" xfId="101" applyNumberFormat="1" applyFont="1" applyFill="1" applyBorder="1" applyAlignment="1">
      <alignment horizontal="right" vertical="center"/>
    </xf>
    <xf numFmtId="49" fontId="52" fillId="0" borderId="45" xfId="101" applyNumberFormat="1" applyFont="1" applyFill="1" applyBorder="1" applyAlignment="1">
      <alignment horizontal="center" vertical="center"/>
    </xf>
    <xf numFmtId="1" fontId="51" fillId="0" borderId="9" xfId="105" applyNumberFormat="1" applyFont="1" applyBorder="1" applyAlignment="1">
      <alignment horizontal="center" vertical="center"/>
    </xf>
    <xf numFmtId="1" fontId="51" fillId="0" borderId="20" xfId="105" applyNumberFormat="1" applyFont="1" applyBorder="1" applyAlignment="1">
      <alignment vertical="center"/>
    </xf>
    <xf numFmtId="4" fontId="52" fillId="0" borderId="20" xfId="101" applyNumberFormat="1" applyFont="1" applyFill="1" applyBorder="1" applyAlignment="1" applyProtection="1">
      <alignment horizontal="right" vertical="center"/>
      <protection locked="0"/>
    </xf>
    <xf numFmtId="165" fontId="52" fillId="0" borderId="20" xfId="101" applyNumberFormat="1" applyFont="1" applyFill="1" applyBorder="1" applyAlignment="1" applyProtection="1">
      <alignment vertical="center"/>
      <protection locked="0"/>
    </xf>
    <xf numFmtId="0" fontId="52" fillId="0" borderId="14" xfId="0" applyFont="1" applyBorder="1" applyAlignment="1">
      <alignment horizontal="left"/>
    </xf>
    <xf numFmtId="0" fontId="52" fillId="0" borderId="14" xfId="0" applyFont="1" applyFill="1" applyBorder="1" applyAlignment="1">
      <alignment horizontal="left"/>
    </xf>
    <xf numFmtId="49" fontId="52" fillId="0" borderId="14" xfId="0" applyNumberFormat="1" applyFont="1" applyFill="1" applyBorder="1" applyAlignment="1">
      <alignment vertical="center"/>
    </xf>
    <xf numFmtId="165" fontId="52" fillId="0" borderId="14" xfId="101" applyNumberFormat="1" applyFont="1" applyFill="1" applyBorder="1" applyAlignment="1">
      <alignment horizontal="center" vertical="center"/>
    </xf>
    <xf numFmtId="165" fontId="52" fillId="0" borderId="14" xfId="101" applyFont="1" applyFill="1" applyBorder="1" applyAlignment="1">
      <alignment horizontal="right"/>
    </xf>
    <xf numFmtId="0" fontId="52" fillId="0" borderId="21" xfId="0" applyFont="1" applyBorder="1" applyAlignment="1">
      <alignment horizontal="left"/>
    </xf>
    <xf numFmtId="3" fontId="52" fillId="0" borderId="41" xfId="101" applyNumberFormat="1" applyFont="1" applyFill="1" applyBorder="1" applyAlignment="1">
      <alignment horizontal="right" vertical="center"/>
    </xf>
    <xf numFmtId="3" fontId="52" fillId="0" borderId="21" xfId="0" applyNumberFormat="1" applyFont="1" applyFill="1" applyBorder="1" applyAlignment="1">
      <alignment horizontal="center" vertical="center"/>
    </xf>
    <xf numFmtId="4" fontId="52" fillId="0" borderId="21" xfId="101" applyNumberFormat="1" applyFont="1" applyFill="1" applyBorder="1" applyAlignment="1" applyProtection="1">
      <alignment horizontal="right" vertical="center"/>
      <protection locked="0"/>
    </xf>
    <xf numFmtId="4" fontId="52" fillId="0" borderId="21" xfId="101" applyNumberFormat="1" applyFont="1" applyFill="1" applyBorder="1" applyAlignment="1">
      <alignment horizontal="right" vertical="center"/>
    </xf>
    <xf numFmtId="165" fontId="52" fillId="0" borderId="21" xfId="101" applyNumberFormat="1" applyFont="1" applyFill="1" applyBorder="1" applyAlignment="1">
      <alignment horizontal="right" vertical="center"/>
    </xf>
    <xf numFmtId="49" fontId="51" fillId="0" borderId="14" xfId="0" applyNumberFormat="1" applyFont="1" applyFill="1" applyBorder="1" applyAlignment="1">
      <alignment horizontal="left" vertical="center"/>
    </xf>
    <xf numFmtId="49" fontId="52" fillId="0" borderId="27" xfId="101" applyNumberFormat="1" applyFont="1" applyFill="1" applyBorder="1" applyAlignment="1">
      <alignment vertical="center"/>
    </xf>
    <xf numFmtId="4" fontId="53" fillId="0" borderId="14" xfId="101" applyNumberFormat="1" applyFont="1" applyFill="1" applyBorder="1" applyAlignment="1" applyProtection="1">
      <alignment horizontal="right" vertical="center"/>
      <protection locked="0"/>
    </xf>
    <xf numFmtId="165" fontId="53" fillId="0" borderId="14" xfId="101" applyNumberFormat="1" applyFont="1" applyFill="1" applyBorder="1" applyAlignment="1" applyProtection="1">
      <alignment vertical="center"/>
      <protection locked="0"/>
    </xf>
    <xf numFmtId="166" fontId="52" fillId="0" borderId="26" xfId="101" applyNumberFormat="1" applyFont="1" applyFill="1" applyBorder="1" applyAlignment="1">
      <alignment horizontal="left" vertical="center"/>
    </xf>
    <xf numFmtId="2" fontId="53" fillId="0" borderId="14" xfId="0" applyNumberFormat="1" applyFont="1" applyFill="1" applyBorder="1" applyAlignment="1">
      <alignment horizontal="right" vertical="center"/>
    </xf>
    <xf numFmtId="165" fontId="53" fillId="0" borderId="14" xfId="101" applyNumberFormat="1" applyFont="1" applyFill="1" applyBorder="1" applyAlignment="1">
      <alignment horizontal="left" vertical="center"/>
    </xf>
    <xf numFmtId="166" fontId="52" fillId="0" borderId="41" xfId="101" applyNumberFormat="1" applyFont="1" applyFill="1" applyBorder="1" applyAlignment="1">
      <alignment horizontal="left" vertical="center"/>
    </xf>
    <xf numFmtId="49" fontId="52" fillId="0" borderId="21" xfId="0" applyNumberFormat="1" applyFont="1" applyFill="1" applyBorder="1" applyAlignment="1">
      <alignment horizontal="left" vertical="center"/>
    </xf>
    <xf numFmtId="0" fontId="52" fillId="0" borderId="21" xfId="0" applyFont="1" applyFill="1" applyBorder="1" applyAlignment="1">
      <alignment horizontal="right" vertical="center"/>
    </xf>
    <xf numFmtId="49" fontId="52" fillId="0" borderId="42" xfId="101" applyNumberFormat="1" applyFont="1" applyFill="1" applyBorder="1" applyAlignment="1">
      <alignment horizontal="left" vertical="center"/>
    </xf>
    <xf numFmtId="166" fontId="51" fillId="0" borderId="32" xfId="101" applyNumberFormat="1" applyFont="1" applyFill="1" applyBorder="1" applyAlignment="1">
      <alignment horizontal="center" vertical="center"/>
    </xf>
    <xf numFmtId="0" fontId="51" fillId="0" borderId="20" xfId="0" applyFont="1" applyFill="1" applyBorder="1" applyAlignment="1">
      <alignment horizontal="right" vertical="center"/>
    </xf>
    <xf numFmtId="3" fontId="51" fillId="0" borderId="20" xfId="0" applyNumberFormat="1" applyFont="1" applyFill="1" applyBorder="1" applyAlignment="1">
      <alignment horizontal="center" vertical="center"/>
    </xf>
    <xf numFmtId="4" fontId="51" fillId="0" borderId="20" xfId="101" applyNumberFormat="1" applyFont="1" applyFill="1" applyBorder="1" applyAlignment="1">
      <alignment horizontal="right" vertical="center"/>
    </xf>
    <xf numFmtId="3" fontId="51" fillId="0" borderId="20" xfId="101" applyNumberFormat="1" applyFont="1" applyFill="1" applyBorder="1" applyAlignment="1">
      <alignment horizontal="right" vertical="center"/>
    </xf>
    <xf numFmtId="165" fontId="51" fillId="0" borderId="20" xfId="101" applyNumberFormat="1" applyFont="1" applyFill="1" applyBorder="1" applyAlignment="1">
      <alignment horizontal="right" vertical="center"/>
    </xf>
    <xf numFmtId="49" fontId="51" fillId="0" borderId="44" xfId="101" applyNumberFormat="1" applyFont="1" applyFill="1" applyBorder="1" applyAlignment="1">
      <alignment horizontal="center" vertical="center"/>
    </xf>
    <xf numFmtId="49" fontId="52" fillId="0" borderId="20" xfId="0" applyNumberFormat="1" applyFont="1" applyFill="1" applyBorder="1" applyAlignment="1">
      <alignment horizontal="left" vertical="center"/>
    </xf>
    <xf numFmtId="3" fontId="52" fillId="0" borderId="26" xfId="0" applyNumberFormat="1" applyFont="1" applyFill="1" applyBorder="1" applyAlignment="1">
      <alignment horizontal="right" vertical="center"/>
    </xf>
    <xf numFmtId="4" fontId="52" fillId="0" borderId="14" xfId="0" applyNumberFormat="1" applyFont="1" applyFill="1" applyBorder="1" applyAlignment="1">
      <alignment horizontal="right" vertical="center"/>
    </xf>
    <xf numFmtId="49" fontId="52" fillId="0" borderId="17" xfId="0" applyNumberFormat="1" applyFont="1" applyFill="1" applyBorder="1" applyAlignment="1">
      <alignment horizontal="left" vertical="center"/>
    </xf>
    <xf numFmtId="165" fontId="52" fillId="0" borderId="34" xfId="101" applyNumberFormat="1" applyFont="1" applyFill="1" applyBorder="1" applyAlignment="1">
      <alignment horizontal="center" vertical="center"/>
    </xf>
    <xf numFmtId="165" fontId="52" fillId="0" borderId="17" xfId="101" applyNumberFormat="1" applyFont="1" applyFill="1" applyBorder="1" applyAlignment="1">
      <alignment vertical="center"/>
    </xf>
    <xf numFmtId="49" fontId="52" fillId="0" borderId="40" xfId="0" applyNumberFormat="1" applyFont="1" applyFill="1" applyBorder="1" applyAlignment="1">
      <alignment horizontal="center" vertical="center"/>
    </xf>
    <xf numFmtId="165" fontId="52" fillId="0" borderId="19" xfId="101" applyNumberFormat="1" applyFont="1" applyFill="1" applyBorder="1" applyAlignment="1">
      <alignment horizontal="center" vertical="center"/>
    </xf>
    <xf numFmtId="165" fontId="51" fillId="0" borderId="9" xfId="101" applyFont="1" applyFill="1" applyBorder="1" applyAlignment="1">
      <alignment horizontal="center" vertical="center"/>
    </xf>
    <xf numFmtId="49" fontId="52" fillId="0" borderId="18" xfId="0" applyNumberFormat="1" applyFont="1" applyFill="1" applyBorder="1" applyAlignment="1">
      <alignment horizontal="center" vertical="center"/>
    </xf>
    <xf numFmtId="165" fontId="52" fillId="0" borderId="32" xfId="101" applyNumberFormat="1" applyFont="1" applyFill="1" applyBorder="1" applyAlignment="1">
      <alignment horizontal="center" vertical="center"/>
    </xf>
    <xf numFmtId="165" fontId="52" fillId="0" borderId="20" xfId="101" applyFont="1" applyFill="1" applyBorder="1" applyAlignment="1">
      <alignment horizontal="center" vertical="center"/>
    </xf>
    <xf numFmtId="165" fontId="52" fillId="0" borderId="20" xfId="101" applyNumberFormat="1" applyFont="1" applyFill="1" applyBorder="1" applyAlignment="1">
      <alignment vertical="center"/>
    </xf>
    <xf numFmtId="165" fontId="52" fillId="0" borderId="26" xfId="101" applyNumberFormat="1" applyFont="1" applyFill="1" applyBorder="1" applyAlignment="1">
      <alignment horizontal="center" vertical="center"/>
    </xf>
    <xf numFmtId="165" fontId="52" fillId="0" borderId="14" xfId="101" applyNumberFormat="1" applyFont="1" applyFill="1" applyBorder="1" applyAlignment="1">
      <alignment vertical="center"/>
    </xf>
    <xf numFmtId="165" fontId="52" fillId="0" borderId="17" xfId="101" applyFont="1" applyFill="1" applyBorder="1" applyAlignment="1">
      <alignment horizontal="center" vertical="center"/>
    </xf>
    <xf numFmtId="2" fontId="52" fillId="0" borderId="9" xfId="101" applyNumberFormat="1" applyFont="1" applyFill="1" applyBorder="1" applyAlignment="1">
      <alignment horizontal="right" vertical="center"/>
    </xf>
    <xf numFmtId="165" fontId="51" fillId="0" borderId="9" xfId="101" applyNumberFormat="1" applyFont="1" applyFill="1" applyBorder="1" applyAlignment="1">
      <alignment vertical="center"/>
    </xf>
    <xf numFmtId="0" fontId="51" fillId="0" borderId="16" xfId="0" applyFont="1" applyFill="1" applyBorder="1" applyAlignment="1">
      <alignment horizontal="center" vertical="center"/>
    </xf>
    <xf numFmtId="49" fontId="51" fillId="0" borderId="16" xfId="0" applyNumberFormat="1" applyFont="1" applyFill="1" applyBorder="1" applyAlignment="1">
      <alignment horizontal="left" vertical="center"/>
    </xf>
    <xf numFmtId="166" fontId="52" fillId="0" borderId="46" xfId="101" applyNumberFormat="1" applyFont="1" applyFill="1" applyBorder="1" applyAlignment="1">
      <alignment horizontal="center" vertical="center"/>
    </xf>
    <xf numFmtId="166" fontId="52" fillId="0" borderId="16" xfId="101" applyNumberFormat="1" applyFont="1" applyFill="1" applyBorder="1" applyAlignment="1">
      <alignment horizontal="right" vertical="center"/>
    </xf>
    <xf numFmtId="0" fontId="52" fillId="0" borderId="16" xfId="0" applyFont="1" applyFill="1" applyBorder="1" applyAlignment="1">
      <alignment horizontal="center" vertical="center"/>
    </xf>
    <xf numFmtId="165" fontId="52" fillId="0" borderId="16" xfId="101" applyFont="1" applyFill="1" applyBorder="1" applyAlignment="1">
      <alignment horizontal="center" vertical="center"/>
    </xf>
    <xf numFmtId="165" fontId="52" fillId="0" borderId="16" xfId="101" applyNumberFormat="1" applyFont="1" applyFill="1" applyBorder="1" applyAlignment="1">
      <alignment vertical="center"/>
    </xf>
    <xf numFmtId="49" fontId="52" fillId="0" borderId="47" xfId="0" applyNumberFormat="1" applyFont="1" applyFill="1" applyBorder="1" applyAlignment="1">
      <alignment horizontal="center" vertical="center"/>
    </xf>
    <xf numFmtId="165" fontId="52" fillId="0" borderId="20" xfId="101" applyNumberFormat="1" applyFont="1" applyFill="1" applyBorder="1" applyAlignment="1">
      <alignment horizontal="center" vertical="center"/>
    </xf>
    <xf numFmtId="165" fontId="53" fillId="0" borderId="20" xfId="101" applyNumberFormat="1" applyFont="1" applyFill="1" applyBorder="1" applyAlignment="1">
      <alignment horizontal="right" vertical="center"/>
    </xf>
    <xf numFmtId="4" fontId="53" fillId="0" borderId="20" xfId="101" applyNumberFormat="1" applyFont="1" applyFill="1" applyBorder="1" applyAlignment="1">
      <alignment horizontal="right" vertical="center"/>
    </xf>
    <xf numFmtId="165" fontId="53" fillId="0" borderId="20" xfId="101" applyNumberFormat="1" applyFont="1" applyFill="1" applyBorder="1" applyAlignment="1">
      <alignment vertical="center"/>
    </xf>
    <xf numFmtId="165" fontId="52" fillId="0" borderId="29" xfId="101" applyFont="1" applyFill="1" applyBorder="1" applyAlignment="1">
      <alignment horizontal="center" vertical="center"/>
    </xf>
    <xf numFmtId="165" fontId="52" fillId="0" borderId="29" xfId="101" applyNumberFormat="1" applyFont="1" applyFill="1" applyBorder="1" applyAlignment="1">
      <alignment vertical="center"/>
    </xf>
    <xf numFmtId="49" fontId="52" fillId="0" borderId="9" xfId="101" applyNumberFormat="1" applyFont="1" applyFill="1" applyBorder="1" applyAlignment="1">
      <alignment horizontal="center" vertical="center"/>
    </xf>
    <xf numFmtId="165" fontId="51" fillId="0" borderId="19" xfId="101" applyFont="1" applyFill="1" applyBorder="1" applyAlignment="1">
      <alignment horizontal="center" vertical="center"/>
    </xf>
    <xf numFmtId="49" fontId="51" fillId="0" borderId="44" xfId="0" applyNumberFormat="1" applyFont="1" applyFill="1" applyBorder="1" applyAlignment="1">
      <alignment vertical="center"/>
    </xf>
    <xf numFmtId="1" fontId="52" fillId="0" borderId="21" xfId="105" applyNumberFormat="1" applyFont="1" applyBorder="1" applyAlignment="1">
      <alignment vertical="center"/>
    </xf>
    <xf numFmtId="166" fontId="52" fillId="0" borderId="41" xfId="101" applyNumberFormat="1" applyFont="1" applyFill="1" applyBorder="1" applyAlignment="1">
      <alignment horizontal="center" vertical="center"/>
    </xf>
    <xf numFmtId="49" fontId="52" fillId="0" borderId="42" xfId="101" applyNumberFormat="1" applyFont="1" applyFill="1" applyBorder="1" applyAlignment="1">
      <alignment horizontal="center" vertical="center"/>
    </xf>
    <xf numFmtId="165" fontId="51" fillId="0" borderId="9" xfId="101" applyNumberFormat="1" applyFont="1" applyFill="1" applyBorder="1" applyAlignment="1" applyProtection="1">
      <alignment vertical="center"/>
      <protection locked="0"/>
    </xf>
    <xf numFmtId="2" fontId="52" fillId="0" borderId="14" xfId="101" applyNumberFormat="1" applyFont="1" applyFill="1" applyBorder="1" applyAlignment="1">
      <alignment horizontal="right" vertical="center"/>
    </xf>
    <xf numFmtId="2" fontId="52" fillId="0" borderId="14" xfId="0" applyNumberFormat="1" applyFont="1" applyFill="1" applyBorder="1" applyAlignment="1">
      <alignment horizontal="right" vertical="center"/>
    </xf>
    <xf numFmtId="165" fontId="52" fillId="0" borderId="14" xfId="101" applyNumberFormat="1" applyFont="1" applyFill="1" applyBorder="1" applyAlignment="1">
      <alignment horizontal="left" vertical="center"/>
    </xf>
    <xf numFmtId="3" fontId="51" fillId="0" borderId="26" xfId="101" applyNumberFormat="1" applyFont="1" applyFill="1" applyBorder="1" applyAlignment="1">
      <alignment horizontal="right" vertical="center"/>
    </xf>
    <xf numFmtId="165" fontId="52" fillId="0" borderId="41" xfId="101" applyNumberFormat="1" applyFont="1" applyFill="1" applyBorder="1" applyAlignment="1">
      <alignment horizontal="center" vertical="center"/>
    </xf>
    <xf numFmtId="4" fontId="52" fillId="0" borderId="26" xfId="101" applyNumberFormat="1" applyFont="1" applyFill="1" applyBorder="1" applyAlignment="1">
      <alignment horizontal="right" vertical="center"/>
    </xf>
    <xf numFmtId="4" fontId="52" fillId="0" borderId="40" xfId="101" applyNumberFormat="1" applyFont="1" applyFill="1" applyBorder="1" applyAlignment="1">
      <alignment horizontal="right" vertical="center"/>
    </xf>
    <xf numFmtId="165" fontId="52" fillId="0" borderId="9" xfId="101" applyFont="1" applyFill="1" applyBorder="1" applyAlignment="1">
      <alignment horizontal="center" vertical="center"/>
    </xf>
    <xf numFmtId="165" fontId="52" fillId="0" borderId="9" xfId="101" applyNumberFormat="1" applyFont="1" applyFill="1" applyBorder="1" applyAlignment="1">
      <alignment vertical="center"/>
    </xf>
    <xf numFmtId="165" fontId="52" fillId="0" borderId="19" xfId="101" applyFont="1" applyFill="1" applyBorder="1" applyAlignment="1">
      <alignment horizontal="center" vertical="center"/>
    </xf>
    <xf numFmtId="166" fontId="52" fillId="0" borderId="20" xfId="101" applyNumberFormat="1" applyFont="1" applyFill="1" applyBorder="1" applyAlignment="1">
      <alignment horizontal="right" vertical="center"/>
    </xf>
    <xf numFmtId="49" fontId="52" fillId="0" borderId="20" xfId="101" applyNumberFormat="1" applyFont="1" applyFill="1" applyBorder="1" applyAlignment="1">
      <alignment horizontal="center" vertical="center"/>
    </xf>
    <xf numFmtId="165" fontId="52" fillId="0" borderId="14" xfId="101" applyFont="1" applyFill="1" applyBorder="1" applyAlignment="1">
      <alignment horizontal="center" vertical="center"/>
    </xf>
    <xf numFmtId="49" fontId="52" fillId="0" borderId="14" xfId="101" applyNumberFormat="1" applyFont="1" applyFill="1" applyBorder="1" applyAlignment="1">
      <alignment horizontal="center" vertical="center"/>
    </xf>
    <xf numFmtId="166" fontId="52" fillId="0" borderId="14" xfId="101" applyNumberFormat="1" applyFont="1" applyFill="1" applyBorder="1" applyAlignment="1">
      <alignment horizontal="center" vertical="center"/>
    </xf>
    <xf numFmtId="166" fontId="52" fillId="0" borderId="14" xfId="101" applyNumberFormat="1" applyFont="1" applyFill="1" applyBorder="1" applyAlignment="1">
      <alignment horizontal="right" vertical="center"/>
    </xf>
    <xf numFmtId="165" fontId="52" fillId="0" borderId="14" xfId="101" applyFont="1" applyFill="1" applyBorder="1" applyAlignment="1">
      <alignment vertical="center"/>
    </xf>
    <xf numFmtId="166" fontId="51" fillId="0" borderId="9" xfId="101" applyNumberFormat="1" applyFont="1" applyFill="1" applyBorder="1" applyAlignment="1">
      <alignment horizontal="center" vertical="center"/>
    </xf>
    <xf numFmtId="166" fontId="51" fillId="0" borderId="9" xfId="101" applyNumberFormat="1" applyFont="1" applyFill="1" applyBorder="1" applyAlignment="1">
      <alignment horizontal="right" vertical="center"/>
    </xf>
    <xf numFmtId="165" fontId="51" fillId="0" borderId="9" xfId="101" applyFont="1" applyFill="1" applyBorder="1" applyAlignment="1">
      <alignment vertical="center"/>
    </xf>
    <xf numFmtId="165" fontId="51" fillId="0" borderId="9" xfId="101" applyNumberFormat="1" applyFont="1" applyFill="1" applyBorder="1" applyAlignment="1">
      <alignment horizontal="center" vertical="center"/>
    </xf>
    <xf numFmtId="49" fontId="51" fillId="0" borderId="9" xfId="101" applyNumberFormat="1" applyFont="1" applyFill="1" applyBorder="1" applyAlignment="1">
      <alignment horizontal="center" vertical="center"/>
    </xf>
    <xf numFmtId="49" fontId="52" fillId="0" borderId="14" xfId="101" applyNumberFormat="1" applyFont="1" applyFill="1" applyBorder="1" applyAlignment="1">
      <alignment vertical="center"/>
    </xf>
    <xf numFmtId="49" fontId="52" fillId="0" borderId="29" xfId="0" applyNumberFormat="1" applyFont="1" applyFill="1" applyBorder="1" applyAlignment="1">
      <alignment horizontal="left" vertical="center" indent="1"/>
    </xf>
    <xf numFmtId="166" fontId="52" fillId="0" borderId="29" xfId="101" applyNumberFormat="1" applyFont="1" applyFill="1" applyBorder="1" applyAlignment="1">
      <alignment horizontal="center" vertical="center"/>
    </xf>
    <xf numFmtId="166" fontId="52" fillId="0" borderId="29" xfId="101" applyNumberFormat="1" applyFont="1" applyFill="1" applyBorder="1" applyAlignment="1">
      <alignment horizontal="right" vertical="center"/>
    </xf>
    <xf numFmtId="165" fontId="52" fillId="0" borderId="29" xfId="101" applyFont="1" applyFill="1" applyBorder="1" applyAlignment="1">
      <alignment vertical="center"/>
    </xf>
    <xf numFmtId="49" fontId="52" fillId="0" borderId="29" xfId="101" applyNumberFormat="1" applyFont="1" applyFill="1" applyBorder="1" applyAlignment="1">
      <alignment horizontal="center" vertical="center"/>
    </xf>
    <xf numFmtId="166" fontId="52" fillId="0" borderId="16" xfId="101" applyNumberFormat="1" applyFont="1" applyFill="1" applyBorder="1" applyAlignment="1">
      <alignment horizontal="center" vertical="center"/>
    </xf>
    <xf numFmtId="165" fontId="52" fillId="0" borderId="16" xfId="101" applyFont="1" applyFill="1" applyBorder="1" applyAlignment="1">
      <alignment vertical="center"/>
    </xf>
    <xf numFmtId="49" fontId="52" fillId="0" borderId="16" xfId="101" applyNumberFormat="1" applyFont="1" applyFill="1" applyBorder="1" applyAlignment="1">
      <alignment vertical="center"/>
    </xf>
    <xf numFmtId="166" fontId="52" fillId="0" borderId="20" xfId="101" applyNumberFormat="1" applyFont="1" applyFill="1" applyBorder="1" applyAlignment="1">
      <alignment horizontal="center" vertical="center"/>
    </xf>
    <xf numFmtId="165" fontId="52" fillId="0" borderId="20" xfId="101" applyFont="1" applyFill="1" applyBorder="1" applyAlignment="1">
      <alignment vertical="center"/>
    </xf>
    <xf numFmtId="49" fontId="52" fillId="0" borderId="20" xfId="101" applyNumberFormat="1" applyFont="1" applyFill="1" applyBorder="1" applyAlignment="1">
      <alignment vertical="center"/>
    </xf>
    <xf numFmtId="49" fontId="52" fillId="0" borderId="29" xfId="0" applyNumberFormat="1" applyFont="1" applyFill="1" applyBorder="1" applyAlignment="1">
      <alignment horizontal="left" vertical="center"/>
    </xf>
    <xf numFmtId="2" fontId="52" fillId="0" borderId="29" xfId="101" applyNumberFormat="1" applyFont="1" applyFill="1" applyBorder="1" applyAlignment="1">
      <alignment horizontal="right" vertical="center"/>
    </xf>
    <xf numFmtId="165" fontId="52" fillId="0" borderId="29" xfId="101" applyNumberFormat="1" applyFont="1" applyFill="1" applyBorder="1" applyAlignment="1">
      <alignment horizontal="center" vertical="center"/>
    </xf>
    <xf numFmtId="49" fontId="51" fillId="0" borderId="14" xfId="101" applyNumberFormat="1" applyFont="1" applyFill="1" applyBorder="1" applyAlignment="1">
      <alignment horizontal="center" vertical="center"/>
    </xf>
    <xf numFmtId="166" fontId="51" fillId="0" borderId="14" xfId="101" applyNumberFormat="1" applyFont="1" applyFill="1" applyBorder="1" applyAlignment="1">
      <alignment horizontal="center" vertical="center"/>
    </xf>
    <xf numFmtId="4" fontId="52" fillId="0" borderId="14" xfId="101" applyNumberFormat="1" applyFont="1" applyFill="1" applyBorder="1" applyAlignment="1">
      <alignment horizontal="right"/>
    </xf>
    <xf numFmtId="165" fontId="52" fillId="0" borderId="14" xfId="101" applyNumberFormat="1" applyFont="1" applyFill="1" applyBorder="1"/>
    <xf numFmtId="0" fontId="51" fillId="0" borderId="17" xfId="0" applyFont="1" applyFill="1" applyBorder="1" applyAlignment="1">
      <alignment horizontal="center" vertical="center"/>
    </xf>
    <xf numFmtId="49" fontId="51" fillId="0" borderId="17" xfId="101" applyNumberFormat="1" applyFont="1" applyFill="1" applyBorder="1" applyAlignment="1">
      <alignment horizontal="center" vertical="center"/>
    </xf>
    <xf numFmtId="49" fontId="52" fillId="0" borderId="29" xfId="0" applyNumberFormat="1" applyFont="1" applyFill="1" applyBorder="1"/>
    <xf numFmtId="49" fontId="51" fillId="0" borderId="15" xfId="0" applyNumberFormat="1" applyFont="1" applyFill="1" applyBorder="1" applyAlignment="1">
      <alignment horizontal="center" vertical="center"/>
    </xf>
    <xf numFmtId="166" fontId="51" fillId="0" borderId="15" xfId="101" applyNumberFormat="1" applyFont="1" applyFill="1" applyBorder="1" applyAlignment="1">
      <alignment horizontal="center" vertical="center"/>
    </xf>
    <xf numFmtId="166" fontId="51" fillId="0" borderId="15" xfId="101" applyNumberFormat="1" applyFont="1" applyFill="1" applyBorder="1" applyAlignment="1">
      <alignment horizontal="right" vertical="center"/>
    </xf>
    <xf numFmtId="4" fontId="51" fillId="0" borderId="15" xfId="101" applyNumberFormat="1" applyFont="1" applyFill="1" applyBorder="1" applyAlignment="1">
      <alignment horizontal="right" vertical="center"/>
    </xf>
    <xf numFmtId="165" fontId="51" fillId="0" borderId="15" xfId="101" applyFont="1" applyFill="1" applyBorder="1" applyAlignment="1">
      <alignment vertical="center"/>
    </xf>
    <xf numFmtId="165" fontId="51" fillId="0" borderId="15" xfId="101" applyNumberFormat="1" applyFont="1" applyFill="1" applyBorder="1" applyAlignment="1">
      <alignment vertical="center"/>
    </xf>
    <xf numFmtId="165" fontId="51" fillId="0" borderId="15" xfId="101" applyFont="1" applyFill="1" applyBorder="1" applyAlignment="1">
      <alignment horizontal="center" vertical="center"/>
    </xf>
    <xf numFmtId="49" fontId="51" fillId="0" borderId="15" xfId="101" applyNumberFormat="1" applyFont="1" applyFill="1" applyBorder="1" applyAlignment="1">
      <alignment vertical="center"/>
    </xf>
    <xf numFmtId="49" fontId="52" fillId="0" borderId="17" xfId="0" applyNumberFormat="1" applyFont="1" applyFill="1" applyBorder="1" applyAlignment="1">
      <alignment horizontal="left" vertical="center" indent="2"/>
    </xf>
    <xf numFmtId="166" fontId="52" fillId="0" borderId="17" xfId="101" applyNumberFormat="1" applyFont="1" applyFill="1" applyBorder="1" applyAlignment="1">
      <alignment horizontal="center" vertical="center"/>
    </xf>
    <xf numFmtId="166" fontId="52" fillId="0" borderId="17" xfId="101" applyNumberFormat="1" applyFont="1" applyFill="1" applyBorder="1" applyAlignment="1">
      <alignment horizontal="right" vertical="center"/>
    </xf>
    <xf numFmtId="165" fontId="52" fillId="0" borderId="17" xfId="101" applyFont="1" applyFill="1" applyBorder="1" applyAlignment="1">
      <alignment vertical="center"/>
    </xf>
    <xf numFmtId="165" fontId="52" fillId="0" borderId="17" xfId="101" applyNumberFormat="1" applyFont="1" applyFill="1" applyBorder="1" applyAlignment="1">
      <alignment horizontal="center" vertical="center"/>
    </xf>
    <xf numFmtId="49" fontId="52" fillId="0" borderId="17" xfId="101" applyNumberFormat="1" applyFont="1" applyFill="1" applyBorder="1" applyAlignment="1">
      <alignment horizontal="center" vertical="center"/>
    </xf>
    <xf numFmtId="49" fontId="52" fillId="0" borderId="14" xfId="101" applyNumberFormat="1" applyFont="1" applyFill="1" applyBorder="1" applyAlignment="1" applyProtection="1">
      <alignment horizontal="center" vertical="center"/>
    </xf>
    <xf numFmtId="49" fontId="52" fillId="0" borderId="14" xfId="0" applyNumberFormat="1" applyFont="1" applyFill="1" applyBorder="1" applyAlignment="1"/>
    <xf numFmtId="49" fontId="52" fillId="0" borderId="14" xfId="0" applyNumberFormat="1" applyFont="1" applyFill="1" applyBorder="1" applyAlignment="1">
      <alignment horizontal="left" indent="1"/>
    </xf>
    <xf numFmtId="0" fontId="52" fillId="0" borderId="0" xfId="0" applyFont="1" applyFill="1" applyBorder="1" applyAlignment="1"/>
    <xf numFmtId="4" fontId="52" fillId="0" borderId="14" xfId="0" applyNumberFormat="1" applyFont="1" applyFill="1" applyBorder="1" applyAlignment="1">
      <alignment vertical="center"/>
    </xf>
    <xf numFmtId="4" fontId="52" fillId="0" borderId="14" xfId="0" quotePrefix="1" applyNumberFormat="1" applyFont="1" applyFill="1" applyBorder="1" applyAlignment="1">
      <alignment horizontal="left"/>
    </xf>
    <xf numFmtId="4" fontId="52" fillId="0" borderId="14" xfId="101" applyNumberFormat="1" applyFont="1" applyFill="1" applyBorder="1" applyAlignment="1">
      <alignment vertical="center"/>
    </xf>
    <xf numFmtId="4" fontId="52" fillId="0" borderId="14" xfId="0" applyNumberFormat="1" applyFont="1" applyFill="1" applyBorder="1" applyAlignment="1">
      <alignment horizontal="center" vertical="center"/>
    </xf>
    <xf numFmtId="4" fontId="52" fillId="0" borderId="14" xfId="0" applyNumberFormat="1" applyFont="1" applyFill="1" applyBorder="1" applyAlignment="1"/>
    <xf numFmtId="4" fontId="52" fillId="0" borderId="14" xfId="0" quotePrefix="1" applyNumberFormat="1" applyFont="1" applyFill="1" applyBorder="1" applyAlignment="1"/>
    <xf numFmtId="49" fontId="51" fillId="0" borderId="9" xfId="0" applyNumberFormat="1" applyFont="1" applyFill="1" applyBorder="1" applyAlignment="1">
      <alignment horizontal="center"/>
    </xf>
    <xf numFmtId="165" fontId="51" fillId="0" borderId="9" xfId="101" applyNumberFormat="1" applyFont="1" applyFill="1" applyBorder="1"/>
    <xf numFmtId="49" fontId="51" fillId="0" borderId="9" xfId="101" applyNumberFormat="1" applyFont="1" applyFill="1" applyBorder="1"/>
    <xf numFmtId="2" fontId="51" fillId="0" borderId="16" xfId="0" applyNumberFormat="1" applyFont="1" applyFill="1" applyBorder="1" applyAlignment="1">
      <alignment horizontal="center" vertical="center"/>
    </xf>
    <xf numFmtId="2" fontId="51" fillId="0" borderId="20" xfId="0" applyNumberFormat="1" applyFont="1" applyFill="1" applyBorder="1" applyAlignment="1">
      <alignment horizontal="center" vertical="center"/>
    </xf>
    <xf numFmtId="49" fontId="52" fillId="0" borderId="14" xfId="0" applyNumberFormat="1" applyFont="1" applyFill="1" applyBorder="1"/>
    <xf numFmtId="49" fontId="52" fillId="0" borderId="27" xfId="0" applyNumberFormat="1" applyFont="1" applyFill="1" applyBorder="1" applyAlignment="1">
      <alignment horizontal="left" vertical="center"/>
    </xf>
    <xf numFmtId="49" fontId="52" fillId="0" borderId="27" xfId="0" applyNumberFormat="1" applyFont="1" applyFill="1" applyBorder="1"/>
    <xf numFmtId="0" fontId="51" fillId="0" borderId="9" xfId="0" applyFont="1" applyFill="1" applyBorder="1"/>
    <xf numFmtId="0" fontId="51" fillId="0" borderId="9" xfId="0" applyFont="1" applyFill="1" applyBorder="1" applyAlignment="1">
      <alignment horizontal="right"/>
    </xf>
    <xf numFmtId="0" fontId="51" fillId="0" borderId="9" xfId="0" applyFont="1" applyFill="1" applyBorder="1" applyAlignment="1">
      <alignment horizontal="center"/>
    </xf>
    <xf numFmtId="4" fontId="51" fillId="0" borderId="9" xfId="101" applyNumberFormat="1" applyFont="1" applyFill="1" applyBorder="1" applyAlignment="1">
      <alignment horizontal="right"/>
    </xf>
    <xf numFmtId="165" fontId="51" fillId="0" borderId="9" xfId="101" applyFont="1" applyFill="1" applyBorder="1"/>
    <xf numFmtId="49" fontId="51" fillId="0" borderId="9" xfId="0" applyNumberFormat="1" applyFont="1" applyFill="1" applyBorder="1"/>
    <xf numFmtId="49" fontId="51" fillId="0" borderId="18" xfId="0" applyNumberFormat="1" applyFont="1" applyFill="1" applyBorder="1" applyAlignment="1">
      <alignment horizontal="center"/>
    </xf>
    <xf numFmtId="0" fontId="51" fillId="0" borderId="19" xfId="0" applyFont="1" applyFill="1" applyBorder="1"/>
    <xf numFmtId="49" fontId="51" fillId="0" borderId="22" xfId="0" applyNumberFormat="1" applyFont="1" applyFill="1" applyBorder="1" applyAlignment="1">
      <alignment horizontal="left" vertical="center"/>
    </xf>
    <xf numFmtId="3" fontId="51" fillId="0" borderId="23" xfId="0" applyNumberFormat="1" applyFont="1" applyFill="1" applyBorder="1" applyAlignment="1">
      <alignment horizontal="center" vertical="center"/>
    </xf>
    <xf numFmtId="0" fontId="51" fillId="0" borderId="15" xfId="0" applyFont="1" applyFill="1" applyBorder="1" applyAlignment="1">
      <alignment horizontal="right" vertical="center"/>
    </xf>
    <xf numFmtId="4" fontId="52" fillId="0" borderId="15" xfId="101" applyNumberFormat="1" applyFont="1" applyFill="1" applyBorder="1" applyAlignment="1">
      <alignment horizontal="right" vertical="center"/>
    </xf>
    <xf numFmtId="165" fontId="52" fillId="0" borderId="15" xfId="101" applyFont="1" applyFill="1" applyBorder="1" applyAlignment="1">
      <alignment vertical="center"/>
    </xf>
    <xf numFmtId="165" fontId="52" fillId="0" borderId="15" xfId="101" applyNumberFormat="1" applyFont="1" applyFill="1" applyBorder="1" applyAlignment="1">
      <alignment vertical="center"/>
    </xf>
    <xf numFmtId="0" fontId="51" fillId="0" borderId="15" xfId="0" applyFont="1" applyFill="1" applyBorder="1" applyAlignment="1">
      <alignment vertical="center"/>
    </xf>
    <xf numFmtId="49" fontId="52" fillId="0" borderId="15" xfId="0" applyNumberFormat="1" applyFont="1" applyFill="1" applyBorder="1"/>
    <xf numFmtId="0" fontId="51" fillId="0" borderId="9" xfId="102" applyFont="1" applyBorder="1"/>
    <xf numFmtId="168" fontId="51" fillId="0" borderId="9" xfId="0" applyNumberFormat="1" applyFont="1" applyFill="1" applyBorder="1" applyAlignment="1">
      <alignment horizontal="right" vertical="center"/>
    </xf>
    <xf numFmtId="43" fontId="52" fillId="0" borderId="9" xfId="0" applyNumberFormat="1" applyFont="1" applyFill="1" applyBorder="1" applyAlignment="1">
      <alignment horizontal="center" vertical="center"/>
    </xf>
    <xf numFmtId="4" fontId="52" fillId="0" borderId="9" xfId="0" applyNumberFormat="1" applyFont="1" applyFill="1" applyBorder="1" applyAlignment="1">
      <alignment horizontal="right" vertical="center"/>
    </xf>
    <xf numFmtId="43" fontId="52" fillId="0" borderId="9" xfId="0" applyNumberFormat="1" applyFont="1" applyFill="1" applyBorder="1" applyAlignment="1">
      <alignment vertical="center"/>
    </xf>
    <xf numFmtId="165" fontId="52" fillId="0" borderId="9" xfId="0" applyNumberFormat="1" applyFont="1" applyFill="1" applyBorder="1" applyAlignment="1">
      <alignment vertical="center"/>
    </xf>
    <xf numFmtId="49" fontId="51" fillId="0" borderId="9" xfId="0" applyNumberFormat="1" applyFont="1" applyFill="1" applyBorder="1" applyAlignment="1">
      <alignment vertical="center"/>
    </xf>
    <xf numFmtId="0" fontId="52" fillId="0" borderId="21" xfId="102" applyFont="1" applyBorder="1"/>
    <xf numFmtId="168" fontId="52" fillId="0" borderId="21" xfId="0" applyNumberFormat="1" applyFont="1" applyFill="1" applyBorder="1" applyAlignment="1">
      <alignment horizontal="right" vertical="center"/>
    </xf>
    <xf numFmtId="43" fontId="52" fillId="0" borderId="21" xfId="0" applyNumberFormat="1" applyFont="1" applyFill="1" applyBorder="1" applyAlignment="1">
      <alignment horizontal="center" vertical="center"/>
    </xf>
    <xf numFmtId="4" fontId="52" fillId="0" borderId="21" xfId="0" applyNumberFormat="1" applyFont="1" applyFill="1" applyBorder="1" applyAlignment="1">
      <alignment horizontal="right" vertical="center"/>
    </xf>
    <xf numFmtId="43" fontId="52" fillId="0" borderId="21" xfId="0" applyNumberFormat="1" applyFont="1" applyFill="1" applyBorder="1" applyAlignment="1">
      <alignment vertical="center"/>
    </xf>
    <xf numFmtId="165" fontId="52" fillId="0" borderId="21" xfId="0" applyNumberFormat="1" applyFont="1" applyFill="1" applyBorder="1" applyAlignment="1">
      <alignment vertical="center"/>
    </xf>
    <xf numFmtId="49" fontId="51" fillId="0" borderId="21" xfId="0" applyNumberFormat="1" applyFont="1" applyFill="1" applyBorder="1" applyAlignment="1">
      <alignment vertical="center"/>
    </xf>
    <xf numFmtId="0" fontId="52" fillId="0" borderId="14" xfId="102" applyFont="1" applyBorder="1"/>
    <xf numFmtId="168" fontId="52" fillId="0" borderId="28" xfId="0" applyNumberFormat="1" applyFont="1" applyFill="1" applyBorder="1" applyAlignment="1">
      <alignment horizontal="right" vertical="center"/>
    </xf>
    <xf numFmtId="0" fontId="52" fillId="0" borderId="14" xfId="103" applyFont="1" applyFill="1" applyBorder="1" applyAlignment="1">
      <alignment horizontal="center"/>
    </xf>
    <xf numFmtId="168" fontId="52" fillId="0" borderId="14" xfId="0" applyNumberFormat="1" applyFont="1" applyFill="1" applyBorder="1" applyAlignment="1">
      <alignment vertical="center"/>
    </xf>
    <xf numFmtId="165" fontId="52" fillId="0" borderId="14" xfId="0" applyNumberFormat="1" applyFont="1" applyFill="1" applyBorder="1" applyAlignment="1">
      <alignment vertical="center"/>
    </xf>
    <xf numFmtId="49" fontId="51" fillId="0" borderId="14" xfId="0" applyNumberFormat="1" applyFont="1" applyFill="1" applyBorder="1" applyAlignment="1">
      <alignment vertical="center"/>
    </xf>
    <xf numFmtId="2" fontId="52" fillId="0" borderId="14" xfId="0" applyNumberFormat="1" applyFont="1" applyFill="1" applyBorder="1" applyAlignment="1">
      <alignment horizontal="center" vertical="center"/>
    </xf>
    <xf numFmtId="2" fontId="52" fillId="0" borderId="14" xfId="0" applyNumberFormat="1" applyFont="1" applyFill="1" applyBorder="1" applyAlignment="1">
      <alignment vertical="center"/>
    </xf>
    <xf numFmtId="2" fontId="52" fillId="0" borderId="14" xfId="0" applyNumberFormat="1" applyFont="1" applyFill="1" applyBorder="1" applyAlignment="1" applyProtection="1">
      <alignment horizontal="center"/>
    </xf>
    <xf numFmtId="4" fontId="52" fillId="0" borderId="14" xfId="0" applyNumberFormat="1" applyFont="1" applyFill="1" applyBorder="1" applyAlignment="1" applyProtection="1">
      <alignment horizontal="right"/>
    </xf>
    <xf numFmtId="2" fontId="52" fillId="0" borderId="14" xfId="0" applyNumberFormat="1" applyFont="1" applyFill="1" applyBorder="1" applyAlignment="1" applyProtection="1">
      <alignment horizontal="right"/>
    </xf>
    <xf numFmtId="165" fontId="52" fillId="0" borderId="14" xfId="0" applyNumberFormat="1" applyFont="1" applyFill="1" applyBorder="1" applyAlignment="1" applyProtection="1">
      <alignment horizontal="right"/>
    </xf>
    <xf numFmtId="3" fontId="52" fillId="0" borderId="26" xfId="0" applyNumberFormat="1" applyFont="1" applyFill="1" applyBorder="1" applyAlignment="1">
      <alignment horizontal="center" vertical="center"/>
    </xf>
    <xf numFmtId="168" fontId="52" fillId="0" borderId="14" xfId="0" applyNumberFormat="1" applyFont="1" applyFill="1" applyBorder="1" applyAlignment="1">
      <alignment horizontal="right" vertical="center"/>
    </xf>
    <xf numFmtId="2" fontId="52" fillId="0" borderId="27" xfId="0" applyNumberFormat="1" applyFont="1" applyFill="1" applyBorder="1" applyAlignment="1">
      <alignment horizontal="center" vertical="center"/>
    </xf>
    <xf numFmtId="2" fontId="52" fillId="0" borderId="24" xfId="0" applyNumberFormat="1" applyFont="1" applyFill="1" applyBorder="1" applyAlignment="1">
      <alignment horizontal="center" vertical="center"/>
    </xf>
    <xf numFmtId="0" fontId="52" fillId="0" borderId="14" xfId="78" applyFont="1" applyBorder="1"/>
    <xf numFmtId="0" fontId="52" fillId="0" borderId="14" xfId="0" applyFont="1" applyFill="1" applyBorder="1" applyAlignment="1" applyProtection="1">
      <alignment horizontal="center"/>
    </xf>
    <xf numFmtId="0" fontId="52" fillId="0" borderId="14" xfId="102" applyFont="1" applyBorder="1" applyAlignment="1">
      <alignment horizontal="left"/>
    </xf>
    <xf numFmtId="166" fontId="52" fillId="0" borderId="14" xfId="101" applyNumberFormat="1" applyFont="1" applyFill="1" applyBorder="1" applyAlignment="1" applyProtection="1">
      <alignment horizontal="center"/>
    </xf>
    <xf numFmtId="4" fontId="52" fillId="0" borderId="0" xfId="0" applyNumberFormat="1" applyFont="1" applyFill="1" applyBorder="1"/>
    <xf numFmtId="4" fontId="52" fillId="0" borderId="14" xfId="102" applyNumberFormat="1" applyFont="1" applyBorder="1"/>
    <xf numFmtId="4" fontId="52" fillId="0" borderId="14" xfId="0" applyNumberFormat="1" applyFont="1" applyFill="1" applyBorder="1" applyAlignment="1" applyProtection="1">
      <alignment horizontal="center"/>
    </xf>
    <xf numFmtId="4" fontId="52" fillId="0" borderId="24" xfId="0" applyNumberFormat="1" applyFont="1" applyFill="1" applyBorder="1" applyAlignment="1">
      <alignment horizontal="center" vertical="center"/>
    </xf>
    <xf numFmtId="4" fontId="52" fillId="0" borderId="24" xfId="0" applyNumberFormat="1" applyFont="1" applyFill="1" applyBorder="1" applyAlignment="1">
      <alignment horizontal="left" vertical="center"/>
    </xf>
    <xf numFmtId="4" fontId="52" fillId="0" borderId="26" xfId="0" applyNumberFormat="1" applyFont="1" applyFill="1" applyBorder="1" applyAlignment="1">
      <alignment vertical="center"/>
    </xf>
    <xf numFmtId="4" fontId="52" fillId="0" borderId="14" xfId="101" applyNumberFormat="1" applyFont="1" applyFill="1" applyBorder="1" applyAlignment="1">
      <alignment horizontal="center" vertical="center"/>
    </xf>
    <xf numFmtId="4" fontId="52" fillId="0" borderId="14" xfId="101" applyNumberFormat="1" applyFont="1" applyFill="1" applyBorder="1" applyAlignment="1">
      <alignment horizontal="center"/>
    </xf>
    <xf numFmtId="4" fontId="52" fillId="0" borderId="14" xfId="101" applyNumberFormat="1" applyFont="1" applyFill="1" applyBorder="1"/>
    <xf numFmtId="4" fontId="51" fillId="0" borderId="14" xfId="0" applyNumberFormat="1" applyFont="1" applyFill="1" applyBorder="1" applyAlignment="1">
      <alignment vertical="center"/>
    </xf>
    <xf numFmtId="4" fontId="52" fillId="27" borderId="14" xfId="0" applyNumberFormat="1" applyFont="1" applyFill="1" applyBorder="1" applyAlignment="1">
      <alignment horizontal="left" vertical="center"/>
    </xf>
    <xf numFmtId="4" fontId="52" fillId="0" borderId="21" xfId="0" applyNumberFormat="1" applyFont="1" applyFill="1" applyBorder="1" applyAlignment="1">
      <alignment horizontal="center" vertical="center"/>
    </xf>
    <xf numFmtId="4" fontId="52" fillId="0" borderId="21" xfId="102" applyNumberFormat="1" applyFont="1" applyBorder="1"/>
    <xf numFmtId="4" fontId="52" fillId="0" borderId="21" xfId="0" applyNumberFormat="1" applyFont="1" applyFill="1" applyBorder="1" applyAlignment="1" applyProtection="1">
      <alignment horizontal="center"/>
    </xf>
    <xf numFmtId="4" fontId="52" fillId="0" borderId="21" xfId="0" applyNumberFormat="1" applyFont="1" applyFill="1" applyBorder="1" applyAlignment="1" applyProtection="1">
      <alignment horizontal="right"/>
    </xf>
    <xf numFmtId="4" fontId="52" fillId="0" borderId="21" xfId="0" applyNumberFormat="1" applyFont="1" applyFill="1" applyBorder="1" applyAlignment="1">
      <alignment vertical="center"/>
    </xf>
    <xf numFmtId="4" fontId="51" fillId="0" borderId="21" xfId="0" applyNumberFormat="1" applyFont="1" applyFill="1" applyBorder="1" applyAlignment="1">
      <alignment vertical="center"/>
    </xf>
    <xf numFmtId="4" fontId="52" fillId="0" borderId="9" xfId="0" applyNumberFormat="1" applyFont="1" applyFill="1" applyBorder="1" applyAlignment="1">
      <alignment horizontal="center" vertical="center"/>
    </xf>
    <xf numFmtId="4" fontId="51" fillId="0" borderId="9" xfId="0" applyNumberFormat="1" applyFont="1" applyFill="1" applyBorder="1" applyAlignment="1">
      <alignment horizontal="center" vertical="center"/>
    </xf>
    <xf numFmtId="4" fontId="51" fillId="0" borderId="9" xfId="0" applyNumberFormat="1" applyFont="1" applyFill="1" applyBorder="1" applyAlignment="1">
      <alignment vertical="center"/>
    </xf>
    <xf numFmtId="4" fontId="51" fillId="0" borderId="9" xfId="0" applyNumberFormat="1" applyFont="1" applyFill="1" applyBorder="1" applyAlignment="1">
      <alignment horizontal="right" vertical="center"/>
    </xf>
    <xf numFmtId="4" fontId="52" fillId="0" borderId="9" xfId="0" applyNumberFormat="1" applyFont="1" applyFill="1" applyBorder="1" applyAlignment="1">
      <alignment vertical="center"/>
    </xf>
    <xf numFmtId="0" fontId="51" fillId="0" borderId="9" xfId="0" applyFont="1" applyFill="1" applyBorder="1" applyAlignment="1">
      <alignment horizontal="left" vertical="center"/>
    </xf>
    <xf numFmtId="166" fontId="52" fillId="0" borderId="9" xfId="101" applyNumberFormat="1" applyFont="1" applyFill="1" applyBorder="1" applyAlignment="1">
      <alignment horizontal="center" vertical="center"/>
    </xf>
    <xf numFmtId="2" fontId="52" fillId="0" borderId="9" xfId="0" applyNumberFormat="1" applyFont="1" applyFill="1" applyBorder="1" applyAlignment="1">
      <alignment horizontal="right" vertical="center"/>
    </xf>
    <xf numFmtId="2" fontId="52" fillId="0" borderId="9" xfId="0" applyNumberFormat="1" applyFont="1" applyFill="1" applyBorder="1" applyAlignment="1">
      <alignment horizontal="center" vertical="center"/>
    </xf>
    <xf numFmtId="2" fontId="52" fillId="0" borderId="9" xfId="0" applyNumberFormat="1" applyFont="1" applyFill="1" applyBorder="1" applyAlignment="1">
      <alignment vertical="center"/>
    </xf>
    <xf numFmtId="0" fontId="52" fillId="0" borderId="21" xfId="0" applyFont="1" applyFill="1" applyBorder="1" applyAlignment="1">
      <alignment horizontal="left" vertical="center"/>
    </xf>
    <xf numFmtId="166" fontId="52" fillId="0" borderId="21" xfId="101" applyNumberFormat="1" applyFont="1" applyFill="1" applyBorder="1" applyAlignment="1">
      <alignment horizontal="center" vertical="center"/>
    </xf>
    <xf numFmtId="2" fontId="52" fillId="0" borderId="21" xfId="0" applyNumberFormat="1" applyFont="1" applyFill="1" applyBorder="1" applyAlignment="1">
      <alignment horizontal="right" vertical="center"/>
    </xf>
    <xf numFmtId="2" fontId="52" fillId="0" borderId="21" xfId="0" applyNumberFormat="1" applyFont="1" applyFill="1" applyBorder="1" applyAlignment="1">
      <alignment horizontal="center" vertical="center"/>
    </xf>
    <xf numFmtId="2" fontId="52" fillId="0" borderId="21" xfId="0" applyNumberFormat="1" applyFont="1" applyFill="1" applyBorder="1" applyAlignment="1">
      <alignment vertical="center"/>
    </xf>
    <xf numFmtId="0" fontId="52" fillId="0" borderId="14" xfId="0" applyFont="1" applyFill="1" applyBorder="1" applyAlignment="1">
      <alignment horizontal="left" vertical="center"/>
    </xf>
    <xf numFmtId="0" fontId="52" fillId="0" borderId="14" xfId="0" quotePrefix="1" applyFont="1" applyFill="1" applyBorder="1" applyAlignment="1">
      <alignment horizontal="center" vertical="center"/>
    </xf>
    <xf numFmtId="0" fontId="52" fillId="0" borderId="21" xfId="0" quotePrefix="1" applyFont="1" applyFill="1" applyBorder="1" applyAlignment="1">
      <alignment horizontal="center" vertical="center"/>
    </xf>
    <xf numFmtId="165" fontId="52" fillId="0" borderId="21" xfId="101" applyFont="1" applyFill="1" applyBorder="1" applyAlignment="1">
      <alignment vertical="center"/>
    </xf>
    <xf numFmtId="166" fontId="51" fillId="0" borderId="9" xfId="101" applyNumberFormat="1" applyFont="1" applyFill="1" applyBorder="1" applyAlignment="1">
      <alignment vertical="center"/>
    </xf>
    <xf numFmtId="49" fontId="52" fillId="0" borderId="9" xfId="0" applyNumberFormat="1" applyFont="1" applyFill="1" applyBorder="1" applyAlignment="1">
      <alignment vertical="center"/>
    </xf>
    <xf numFmtId="0" fontId="51" fillId="0" borderId="16" xfId="0" applyFont="1" applyFill="1" applyBorder="1" applyAlignment="1">
      <alignment horizontal="left" vertical="center"/>
    </xf>
    <xf numFmtId="2" fontId="52" fillId="0" borderId="16" xfId="0" applyNumberFormat="1" applyFont="1" applyFill="1" applyBorder="1" applyAlignment="1">
      <alignment horizontal="right" vertical="center"/>
    </xf>
    <xf numFmtId="2" fontId="52" fillId="0" borderId="16" xfId="0" applyNumberFormat="1" applyFont="1" applyFill="1" applyBorder="1" applyAlignment="1">
      <alignment horizontal="center" vertical="center"/>
    </xf>
    <xf numFmtId="4" fontId="52" fillId="0" borderId="16" xfId="0" applyNumberFormat="1" applyFont="1" applyFill="1" applyBorder="1" applyAlignment="1">
      <alignment horizontal="right" vertical="center"/>
    </xf>
    <xf numFmtId="2" fontId="52" fillId="0" borderId="16" xfId="0" applyNumberFormat="1" applyFont="1" applyFill="1" applyBorder="1" applyAlignment="1">
      <alignment vertical="center"/>
    </xf>
    <xf numFmtId="165" fontId="52" fillId="0" borderId="16" xfId="0" applyNumberFormat="1" applyFont="1" applyFill="1" applyBorder="1" applyAlignment="1">
      <alignment vertical="center"/>
    </xf>
    <xf numFmtId="49" fontId="52" fillId="0" borderId="16" xfId="0" applyNumberFormat="1" applyFont="1" applyFill="1" applyBorder="1" applyAlignment="1">
      <alignment vertical="center"/>
    </xf>
    <xf numFmtId="2" fontId="51" fillId="0" borderId="21" xfId="101" applyNumberFormat="1" applyFont="1" applyFill="1" applyBorder="1" applyAlignment="1">
      <alignment vertical="center"/>
    </xf>
    <xf numFmtId="49" fontId="52" fillId="0" borderId="21" xfId="0" applyNumberFormat="1" applyFont="1" applyFill="1" applyBorder="1" applyAlignment="1">
      <alignment vertical="center"/>
    </xf>
    <xf numFmtId="49" fontId="52" fillId="27" borderId="14" xfId="0" applyNumberFormat="1" applyFont="1" applyFill="1" applyBorder="1" applyAlignment="1">
      <alignment vertical="center"/>
    </xf>
    <xf numFmtId="0" fontId="52" fillId="0" borderId="0" xfId="0" applyFont="1" applyFill="1" applyBorder="1" applyAlignment="1">
      <alignment horizontal="right"/>
    </xf>
    <xf numFmtId="49" fontId="52" fillId="27" borderId="21" xfId="0" applyNumberFormat="1" applyFont="1" applyFill="1" applyBorder="1" applyAlignment="1">
      <alignment vertical="center"/>
    </xf>
    <xf numFmtId="0" fontId="51" fillId="0" borderId="9" xfId="0" applyFont="1" applyFill="1" applyBorder="1" applyAlignment="1">
      <alignment vertical="center"/>
    </xf>
    <xf numFmtId="2" fontId="52" fillId="0" borderId="9" xfId="0" applyNumberFormat="1" applyFont="1" applyFill="1" applyBorder="1" applyAlignment="1">
      <alignment horizontal="center"/>
    </xf>
    <xf numFmtId="4" fontId="52" fillId="0" borderId="9" xfId="0" applyNumberFormat="1" applyFont="1" applyFill="1" applyBorder="1" applyAlignment="1">
      <alignment horizontal="right"/>
    </xf>
    <xf numFmtId="2" fontId="52" fillId="0" borderId="9" xfId="0" applyNumberFormat="1" applyFont="1" applyFill="1" applyBorder="1"/>
    <xf numFmtId="165" fontId="52" fillId="0" borderId="9" xfId="0" applyNumberFormat="1" applyFont="1" applyFill="1" applyBorder="1"/>
    <xf numFmtId="4" fontId="51" fillId="0" borderId="9" xfId="0" applyNumberFormat="1" applyFont="1" applyFill="1" applyBorder="1"/>
    <xf numFmtId="49" fontId="52" fillId="0" borderId="9" xfId="0" applyNumberFormat="1" applyFont="1" applyFill="1" applyBorder="1" applyAlignment="1"/>
    <xf numFmtId="0" fontId="51" fillId="0" borderId="25" xfId="0" applyFont="1" applyFill="1" applyBorder="1" applyAlignment="1">
      <alignment horizontal="center" vertical="center"/>
    </xf>
    <xf numFmtId="0" fontId="51" fillId="0" borderId="25" xfId="0" applyFont="1" applyFill="1" applyBorder="1" applyAlignment="1">
      <alignment horizontal="left" vertical="center"/>
    </xf>
    <xf numFmtId="0" fontId="52" fillId="0" borderId="25" xfId="0" applyFont="1" applyFill="1" applyBorder="1" applyAlignment="1">
      <alignment horizontal="center" vertical="center"/>
    </xf>
    <xf numFmtId="0" fontId="52" fillId="0" borderId="25" xfId="0" applyFont="1" applyFill="1" applyBorder="1" applyAlignment="1">
      <alignment horizontal="right" vertical="center"/>
    </xf>
    <xf numFmtId="165" fontId="52" fillId="0" borderId="25" xfId="101" applyFont="1" applyFill="1" applyBorder="1" applyAlignment="1">
      <alignment horizontal="center" vertical="center"/>
    </xf>
    <xf numFmtId="4" fontId="52" fillId="0" borderId="25" xfId="101" applyNumberFormat="1" applyFont="1" applyFill="1" applyBorder="1" applyAlignment="1">
      <alignment horizontal="right"/>
    </xf>
    <xf numFmtId="165" fontId="52" fillId="0" borderId="20" xfId="101" applyFont="1" applyFill="1" applyBorder="1" applyAlignment="1">
      <alignment horizontal="center"/>
    </xf>
    <xf numFmtId="165" fontId="52" fillId="0" borderId="25" xfId="101" applyNumberFormat="1" applyFont="1" applyFill="1" applyBorder="1"/>
    <xf numFmtId="165" fontId="51" fillId="0" borderId="25" xfId="101" applyFont="1" applyFill="1" applyBorder="1"/>
    <xf numFmtId="165" fontId="51" fillId="0" borderId="25" xfId="101" applyFont="1" applyFill="1" applyBorder="1" applyAlignment="1">
      <alignment horizontal="center" vertical="center"/>
    </xf>
    <xf numFmtId="49" fontId="52" fillId="0" borderId="25" xfId="0" applyNumberFormat="1" applyFont="1" applyFill="1" applyBorder="1"/>
    <xf numFmtId="165" fontId="52" fillId="0" borderId="14" xfId="101" applyNumberFormat="1" applyFont="1" applyFill="1" applyBorder="1" applyAlignment="1">
      <alignment horizontal="right"/>
    </xf>
    <xf numFmtId="165" fontId="52" fillId="0" borderId="14" xfId="101" applyFont="1" applyFill="1" applyBorder="1"/>
    <xf numFmtId="0" fontId="56" fillId="0" borderId="14" xfId="0" applyFont="1" applyFill="1" applyBorder="1" applyAlignment="1">
      <alignment horizontal="left" vertical="center"/>
    </xf>
    <xf numFmtId="0" fontId="52" fillId="0" borderId="14" xfId="0" applyFont="1" applyFill="1" applyBorder="1" applyAlignment="1">
      <alignment horizontal="right" vertical="center"/>
    </xf>
    <xf numFmtId="165" fontId="52" fillId="0" borderId="14" xfId="101" applyFont="1" applyFill="1" applyBorder="1" applyAlignment="1">
      <alignment horizontal="center"/>
    </xf>
    <xf numFmtId="165" fontId="51" fillId="0" borderId="14" xfId="101" applyFont="1" applyFill="1" applyBorder="1" applyAlignment="1">
      <alignment horizontal="center" vertical="center"/>
    </xf>
    <xf numFmtId="0" fontId="52" fillId="0" borderId="41" xfId="0" applyFont="1" applyFill="1" applyBorder="1" applyAlignment="1">
      <alignment horizontal="left" vertical="center"/>
    </xf>
    <xf numFmtId="0" fontId="52" fillId="0" borderId="0" xfId="0" applyFont="1" applyFill="1" applyBorder="1" applyAlignment="1">
      <alignment horizontal="center" vertical="center"/>
    </xf>
    <xf numFmtId="165" fontId="52" fillId="0" borderId="21" xfId="101" applyFont="1" applyFill="1" applyBorder="1" applyAlignment="1">
      <alignment horizontal="center"/>
    </xf>
    <xf numFmtId="4" fontId="52" fillId="0" borderId="42" xfId="101" applyNumberFormat="1" applyFont="1" applyFill="1" applyBorder="1" applyAlignment="1">
      <alignment horizontal="right" vertical="center"/>
    </xf>
    <xf numFmtId="165" fontId="52" fillId="0" borderId="21" xfId="101" applyNumberFormat="1" applyFont="1" applyFill="1" applyBorder="1" applyAlignment="1">
      <alignment vertical="center"/>
    </xf>
    <xf numFmtId="165" fontId="52" fillId="0" borderId="21" xfId="101" applyFont="1" applyFill="1" applyBorder="1"/>
    <xf numFmtId="165" fontId="51" fillId="0" borderId="21" xfId="101" applyFont="1" applyFill="1" applyBorder="1" applyAlignment="1">
      <alignment horizontal="center" vertical="center"/>
    </xf>
    <xf numFmtId="49" fontId="52" fillId="0" borderId="21" xfId="0" applyNumberFormat="1" applyFont="1" applyFill="1" applyBorder="1"/>
    <xf numFmtId="0" fontId="51" fillId="0" borderId="19" xfId="0" applyFont="1" applyFill="1" applyBorder="1" applyAlignment="1">
      <alignment horizontal="center" vertical="center"/>
    </xf>
    <xf numFmtId="0" fontId="51" fillId="0" borderId="5" xfId="0" applyFont="1" applyFill="1" applyBorder="1" applyAlignment="1">
      <alignment vertical="center"/>
    </xf>
    <xf numFmtId="4" fontId="51" fillId="0" borderId="18" xfId="0" applyNumberFormat="1" applyFont="1" applyFill="1" applyBorder="1" applyAlignment="1">
      <alignment horizontal="right" vertical="center"/>
    </xf>
    <xf numFmtId="43" fontId="51" fillId="0" borderId="9" xfId="0" applyNumberFormat="1" applyFont="1" applyFill="1" applyBorder="1"/>
    <xf numFmtId="165" fontId="51" fillId="0" borderId="9" xfId="0" applyNumberFormat="1" applyFont="1" applyFill="1" applyBorder="1"/>
    <xf numFmtId="165" fontId="51" fillId="0" borderId="9" xfId="101" applyFont="1" applyFill="1" applyBorder="1" applyAlignment="1">
      <alignment horizontal="center"/>
    </xf>
    <xf numFmtId="0" fontId="51" fillId="0" borderId="25" xfId="0" applyFont="1" applyFill="1" applyBorder="1" applyAlignment="1">
      <alignment vertical="center"/>
    </xf>
    <xf numFmtId="0" fontId="51" fillId="0" borderId="25" xfId="0" applyFont="1" applyFill="1" applyBorder="1" applyAlignment="1">
      <alignment horizontal="right" vertical="center"/>
    </xf>
    <xf numFmtId="4" fontId="51" fillId="0" borderId="25" xfId="0" applyNumberFormat="1" applyFont="1" applyFill="1" applyBorder="1" applyAlignment="1">
      <alignment horizontal="right" vertical="center"/>
    </xf>
    <xf numFmtId="165" fontId="52" fillId="0" borderId="25" xfId="101" applyFont="1" applyFill="1" applyBorder="1" applyAlignment="1">
      <alignment horizontal="center"/>
    </xf>
    <xf numFmtId="165" fontId="52" fillId="0" borderId="25" xfId="101" applyNumberFormat="1" applyFont="1" applyFill="1" applyBorder="1" applyAlignment="1">
      <alignment vertical="center"/>
    </xf>
    <xf numFmtId="165" fontId="52" fillId="0" borderId="25" xfId="101" applyFont="1" applyFill="1" applyBorder="1" applyAlignment="1">
      <alignment vertical="center"/>
    </xf>
    <xf numFmtId="0" fontId="52" fillId="0" borderId="5" xfId="0" applyFont="1" applyFill="1" applyBorder="1"/>
    <xf numFmtId="49" fontId="51" fillId="0" borderId="35" xfId="0" applyNumberFormat="1" applyFont="1" applyFill="1" applyBorder="1" applyAlignment="1">
      <alignment horizontal="center" vertical="center"/>
    </xf>
    <xf numFmtId="49" fontId="51" fillId="0" borderId="30" xfId="0" applyNumberFormat="1" applyFont="1" applyFill="1" applyBorder="1" applyAlignment="1">
      <alignment horizontal="center" vertical="center"/>
    </xf>
    <xf numFmtId="49" fontId="51" fillId="0" borderId="25" xfId="0" applyNumberFormat="1" applyFont="1" applyFill="1" applyBorder="1" applyAlignment="1">
      <alignment horizontal="right" vertical="center"/>
    </xf>
    <xf numFmtId="49" fontId="51" fillId="0" borderId="25" xfId="0" applyNumberFormat="1" applyFont="1" applyFill="1" applyBorder="1" applyAlignment="1">
      <alignment horizontal="center" vertical="center"/>
    </xf>
    <xf numFmtId="4" fontId="51" fillId="0" borderId="43" xfId="0" applyNumberFormat="1" applyFont="1" applyFill="1" applyBorder="1" applyAlignment="1">
      <alignment horizontal="right" vertical="center"/>
    </xf>
    <xf numFmtId="43" fontId="51" fillId="0" borderId="25" xfId="101" applyNumberFormat="1" applyFont="1" applyFill="1" applyBorder="1" applyAlignment="1">
      <alignment vertical="center"/>
    </xf>
    <xf numFmtId="165" fontId="51" fillId="0" borderId="25" xfId="101" applyNumberFormat="1" applyFont="1" applyFill="1" applyBorder="1" applyAlignment="1">
      <alignment vertical="center"/>
    </xf>
    <xf numFmtId="165" fontId="51" fillId="0" borderId="25" xfId="101" applyFont="1" applyFill="1" applyBorder="1" applyAlignment="1">
      <alignment vertical="center"/>
    </xf>
    <xf numFmtId="49" fontId="51" fillId="0" borderId="25" xfId="0" applyNumberFormat="1" applyFont="1" applyFill="1" applyBorder="1"/>
    <xf numFmtId="3" fontId="51" fillId="0" borderId="9" xfId="101" applyNumberFormat="1" applyFont="1" applyFill="1" applyBorder="1" applyAlignment="1">
      <alignment horizontal="center" vertical="center"/>
    </xf>
    <xf numFmtId="4" fontId="51" fillId="0" borderId="9" xfId="0" applyNumberFormat="1" applyFont="1" applyFill="1" applyBorder="1" applyAlignment="1">
      <alignment horizontal="right"/>
    </xf>
    <xf numFmtId="165" fontId="51" fillId="0" borderId="9" xfId="101" applyNumberFormat="1" applyFont="1" applyFill="1" applyBorder="1" applyAlignment="1">
      <alignment horizontal="center"/>
    </xf>
    <xf numFmtId="49" fontId="51" fillId="0" borderId="18" xfId="0" applyNumberFormat="1" applyFont="1" applyFill="1" applyBorder="1" applyAlignment="1">
      <alignment horizontal="left" vertical="center"/>
    </xf>
    <xf numFmtId="165" fontId="52" fillId="0" borderId="9" xfId="101" applyFont="1" applyFill="1" applyBorder="1" applyAlignment="1">
      <alignment vertical="center"/>
    </xf>
    <xf numFmtId="49" fontId="52" fillId="0" borderId="9" xfId="0" applyNumberFormat="1" applyFont="1" applyFill="1" applyBorder="1"/>
    <xf numFmtId="0" fontId="51" fillId="0" borderId="20" xfId="0" applyFont="1" applyFill="1" applyBorder="1" applyAlignment="1">
      <alignment horizontal="center"/>
    </xf>
    <xf numFmtId="0" fontId="51" fillId="0" borderId="31" xfId="0" applyFont="1" applyFill="1" applyBorder="1"/>
    <xf numFmtId="0" fontId="51" fillId="0" borderId="32" xfId="0" applyFont="1" applyFill="1" applyBorder="1" applyAlignment="1">
      <alignment horizontal="center" vertical="center"/>
    </xf>
    <xf numFmtId="0" fontId="52" fillId="0" borderId="20" xfId="103" applyFont="1" applyFill="1" applyBorder="1" applyAlignment="1">
      <alignment horizontal="right"/>
    </xf>
    <xf numFmtId="0" fontId="52" fillId="0" borderId="20" xfId="103" applyFont="1" applyFill="1" applyBorder="1" applyAlignment="1">
      <alignment horizontal="center"/>
    </xf>
    <xf numFmtId="4" fontId="52" fillId="0" borderId="20" xfId="101" applyNumberFormat="1" applyFont="1" applyFill="1" applyBorder="1" applyAlignment="1">
      <alignment horizontal="right"/>
    </xf>
    <xf numFmtId="165" fontId="52" fillId="0" borderId="20" xfId="101" applyNumberFormat="1" applyFont="1" applyFill="1" applyBorder="1"/>
    <xf numFmtId="165" fontId="52" fillId="0" borderId="20" xfId="101" applyFont="1" applyFill="1" applyBorder="1"/>
    <xf numFmtId="0" fontId="51" fillId="0" borderId="20" xfId="0" applyFont="1" applyFill="1" applyBorder="1" applyAlignment="1">
      <alignment vertical="center"/>
    </xf>
    <xf numFmtId="49" fontId="52" fillId="0" borderId="20" xfId="0" applyNumberFormat="1" applyFont="1" applyFill="1" applyBorder="1"/>
    <xf numFmtId="0" fontId="52" fillId="0" borderId="14" xfId="0" applyFont="1" applyFill="1" applyBorder="1" applyAlignment="1">
      <alignment horizontal="center"/>
    </xf>
    <xf numFmtId="0" fontId="52" fillId="0" borderId="24" xfId="0" applyFont="1" applyFill="1" applyBorder="1"/>
    <xf numFmtId="0" fontId="51" fillId="0" borderId="26" xfId="0" applyFont="1" applyFill="1" applyBorder="1" applyAlignment="1">
      <alignment horizontal="center" vertical="center"/>
    </xf>
    <xf numFmtId="0" fontId="52" fillId="0" borderId="26" xfId="0" applyFont="1" applyFill="1" applyBorder="1" applyAlignment="1">
      <alignment horizontal="center" vertical="center"/>
    </xf>
    <xf numFmtId="0" fontId="52" fillId="0" borderId="26" xfId="0" applyFont="1" applyFill="1" applyBorder="1" applyAlignment="1">
      <alignment vertical="center"/>
    </xf>
    <xf numFmtId="0" fontId="52" fillId="0" borderId="24" xfId="0" applyFont="1" applyFill="1" applyBorder="1" applyAlignment="1">
      <alignment horizontal="left"/>
    </xf>
    <xf numFmtId="0" fontId="52" fillId="0" borderId="26" xfId="0" applyFont="1" applyFill="1" applyBorder="1"/>
    <xf numFmtId="49" fontId="52" fillId="0" borderId="33" xfId="103" applyNumberFormat="1" applyFont="1" applyFill="1" applyBorder="1" applyAlignment="1">
      <alignment horizontal="left" indent="1"/>
    </xf>
    <xf numFmtId="0" fontId="52" fillId="0" borderId="17" xfId="103" applyFont="1" applyFill="1" applyBorder="1" applyAlignment="1">
      <alignment horizontal="right"/>
    </xf>
    <xf numFmtId="0" fontId="52" fillId="0" borderId="17" xfId="103" applyFont="1" applyFill="1" applyBorder="1" applyAlignment="1">
      <alignment horizontal="center"/>
    </xf>
    <xf numFmtId="4" fontId="52" fillId="0" borderId="17" xfId="101" applyNumberFormat="1" applyFont="1" applyFill="1" applyBorder="1" applyAlignment="1">
      <alignment horizontal="right"/>
    </xf>
    <xf numFmtId="165" fontId="52" fillId="0" borderId="17" xfId="101" applyFont="1" applyFill="1" applyBorder="1" applyAlignment="1">
      <alignment horizontal="center"/>
    </xf>
    <xf numFmtId="165" fontId="52" fillId="0" borderId="17" xfId="101" applyNumberFormat="1" applyFont="1" applyFill="1" applyBorder="1"/>
    <xf numFmtId="165" fontId="52" fillId="0" borderId="17" xfId="101" applyFont="1" applyFill="1" applyBorder="1"/>
    <xf numFmtId="0" fontId="51" fillId="0" borderId="17" xfId="0" applyFont="1" applyFill="1" applyBorder="1" applyAlignment="1">
      <alignment vertical="center"/>
    </xf>
    <xf numFmtId="49" fontId="52" fillId="0" borderId="17" xfId="0" applyNumberFormat="1" applyFont="1" applyFill="1" applyBorder="1"/>
    <xf numFmtId="49" fontId="51" fillId="0" borderId="19" xfId="0" applyNumberFormat="1" applyFont="1" applyFill="1" applyBorder="1" applyAlignment="1">
      <alignment horizontal="center" vertical="center"/>
    </xf>
    <xf numFmtId="49" fontId="51" fillId="0" borderId="5" xfId="0" applyNumberFormat="1" applyFont="1" applyFill="1" applyBorder="1" applyAlignment="1">
      <alignment vertical="center"/>
    </xf>
    <xf numFmtId="49" fontId="51" fillId="0" borderId="9" xfId="0" applyNumberFormat="1" applyFont="1" applyFill="1" applyBorder="1" applyAlignment="1">
      <alignment horizontal="right" vertical="center"/>
    </xf>
    <xf numFmtId="166" fontId="52" fillId="0" borderId="9" xfId="101" applyNumberFormat="1" applyFont="1" applyFill="1" applyBorder="1" applyAlignment="1">
      <alignment vertical="center"/>
    </xf>
    <xf numFmtId="3" fontId="51" fillId="0" borderId="9" xfId="0" applyNumberFormat="1" applyFont="1" applyFill="1" applyBorder="1" applyAlignment="1">
      <alignment vertical="center"/>
    </xf>
    <xf numFmtId="49" fontId="51" fillId="0" borderId="31" xfId="0" applyNumberFormat="1" applyFont="1" applyFill="1" applyBorder="1" applyAlignment="1">
      <alignment vertical="center"/>
    </xf>
    <xf numFmtId="49" fontId="51" fillId="0" borderId="32" xfId="0" applyNumberFormat="1" applyFont="1" applyFill="1" applyBorder="1" applyAlignment="1">
      <alignment vertical="center"/>
    </xf>
    <xf numFmtId="0" fontId="51" fillId="0" borderId="26" xfId="0" applyFont="1" applyFill="1" applyBorder="1" applyAlignment="1">
      <alignment vertical="center"/>
    </xf>
    <xf numFmtId="49" fontId="52" fillId="0" borderId="40" xfId="103" applyNumberFormat="1" applyFont="1" applyFill="1" applyBorder="1" applyAlignment="1">
      <alignment horizontal="left" indent="1"/>
    </xf>
    <xf numFmtId="0" fontId="52" fillId="0" borderId="24" xfId="0" applyFont="1" applyFill="1" applyBorder="1" applyAlignment="1"/>
    <xf numFmtId="0" fontId="51" fillId="0" borderId="26" xfId="0" applyFont="1" applyFill="1" applyBorder="1" applyAlignment="1"/>
    <xf numFmtId="0" fontId="52" fillId="0" borderId="41" xfId="0" applyFont="1" applyFill="1" applyBorder="1" applyAlignment="1">
      <alignment vertical="center"/>
    </xf>
    <xf numFmtId="0" fontId="52" fillId="0" borderId="21" xfId="0" applyFont="1" applyFill="1" applyBorder="1" applyAlignment="1">
      <alignment horizontal="center"/>
    </xf>
    <xf numFmtId="4" fontId="52" fillId="0" borderId="21" xfId="101" applyNumberFormat="1" applyFont="1" applyFill="1" applyBorder="1" applyAlignment="1">
      <alignment horizontal="right"/>
    </xf>
    <xf numFmtId="49" fontId="51" fillId="0" borderId="5" xfId="0" applyNumberFormat="1" applyFont="1" applyFill="1" applyBorder="1" applyAlignment="1">
      <alignment horizontal="center" vertical="center"/>
    </xf>
    <xf numFmtId="49" fontId="51" fillId="0" borderId="19" xfId="0" applyNumberFormat="1" applyFont="1" applyFill="1" applyBorder="1" applyAlignment="1">
      <alignment vertical="center"/>
    </xf>
    <xf numFmtId="0" fontId="52" fillId="0" borderId="9" xfId="103" applyFont="1" applyFill="1" applyBorder="1" applyAlignment="1">
      <alignment horizontal="right"/>
    </xf>
    <xf numFmtId="0" fontId="52" fillId="0" borderId="9" xfId="103" applyFont="1" applyFill="1" applyBorder="1" applyAlignment="1">
      <alignment horizontal="center"/>
    </xf>
    <xf numFmtId="4" fontId="52" fillId="0" borderId="9" xfId="101" applyNumberFormat="1" applyFont="1" applyFill="1" applyBorder="1" applyAlignment="1">
      <alignment horizontal="right"/>
    </xf>
    <xf numFmtId="165" fontId="52" fillId="0" borderId="9" xfId="101" applyFont="1" applyFill="1" applyBorder="1" applyAlignment="1">
      <alignment horizontal="center"/>
    </xf>
    <xf numFmtId="165" fontId="52" fillId="0" borderId="9" xfId="101" applyNumberFormat="1" applyFont="1" applyFill="1" applyBorder="1"/>
    <xf numFmtId="165" fontId="52" fillId="0" borderId="9" xfId="101" applyFont="1" applyFill="1" applyBorder="1"/>
    <xf numFmtId="165" fontId="51" fillId="0" borderId="9" xfId="0" applyNumberFormat="1" applyFont="1" applyFill="1" applyBorder="1" applyAlignment="1">
      <alignment vertical="center"/>
    </xf>
    <xf numFmtId="0" fontId="51" fillId="0" borderId="14" xfId="0" applyFont="1" applyFill="1" applyBorder="1" applyAlignment="1">
      <alignment horizontal="center"/>
    </xf>
    <xf numFmtId="0" fontId="52" fillId="0" borderId="26" xfId="0" applyFont="1" applyFill="1" applyBorder="1" applyAlignment="1"/>
    <xf numFmtId="0" fontId="52" fillId="0" borderId="17" xfId="0" applyFont="1" applyFill="1" applyBorder="1" applyAlignment="1">
      <alignment horizontal="center"/>
    </xf>
    <xf numFmtId="0" fontId="52" fillId="0" borderId="33" xfId="0" applyFont="1" applyFill="1" applyBorder="1"/>
    <xf numFmtId="0" fontId="52" fillId="0" borderId="34" xfId="0" applyFont="1" applyFill="1" applyBorder="1" applyAlignment="1">
      <alignment vertical="center"/>
    </xf>
    <xf numFmtId="0" fontId="52" fillId="0" borderId="17" xfId="0" applyFont="1" applyFill="1" applyBorder="1" applyAlignment="1">
      <alignment horizontal="right" vertical="center"/>
    </xf>
    <xf numFmtId="3" fontId="52" fillId="0" borderId="9" xfId="0" applyNumberFormat="1" applyFont="1" applyFill="1" applyBorder="1" applyAlignment="1">
      <alignment vertical="center"/>
    </xf>
    <xf numFmtId="0" fontId="52" fillId="0" borderId="32" xfId="0" applyFont="1" applyFill="1" applyBorder="1" applyAlignment="1">
      <alignment vertical="center"/>
    </xf>
    <xf numFmtId="166" fontId="52" fillId="0" borderId="26" xfId="101" applyNumberFormat="1" applyFont="1" applyFill="1" applyBorder="1" applyAlignment="1">
      <alignment horizontal="center"/>
    </xf>
    <xf numFmtId="3" fontId="52" fillId="0" borderId="26" xfId="101" applyNumberFormat="1" applyFont="1" applyFill="1" applyBorder="1" applyAlignment="1">
      <alignment horizontal="center" vertical="center"/>
    </xf>
    <xf numFmtId="165" fontId="51" fillId="0" borderId="17" xfId="0" applyNumberFormat="1" applyFont="1" applyFill="1" applyBorder="1" applyAlignment="1">
      <alignment vertical="center"/>
    </xf>
    <xf numFmtId="170" fontId="51" fillId="0" borderId="14" xfId="0" applyNumberFormat="1" applyFont="1" applyFill="1" applyBorder="1" applyAlignment="1">
      <alignment horizontal="center" vertical="center"/>
    </xf>
    <xf numFmtId="0" fontId="51" fillId="0" borderId="24" xfId="0" applyFont="1" applyFill="1" applyBorder="1"/>
    <xf numFmtId="0" fontId="52" fillId="0" borderId="14" xfId="103" applyFont="1" applyFill="1" applyBorder="1" applyAlignment="1">
      <alignment horizontal="right"/>
    </xf>
    <xf numFmtId="2" fontId="52" fillId="0" borderId="14" xfId="0" applyNumberFormat="1" applyFont="1" applyFill="1" applyBorder="1" applyAlignment="1">
      <alignment horizontal="right"/>
    </xf>
    <xf numFmtId="0" fontId="52" fillId="0" borderId="14" xfId="0" applyFont="1" applyFill="1" applyBorder="1"/>
    <xf numFmtId="2" fontId="52" fillId="0" borderId="17" xfId="0" applyNumberFormat="1" applyFont="1" applyFill="1" applyBorder="1" applyAlignment="1">
      <alignment horizontal="right"/>
    </xf>
    <xf numFmtId="0" fontId="52" fillId="0" borderId="0" xfId="0" applyFont="1" applyFill="1" applyBorder="1" applyAlignment="1">
      <alignment vertical="center"/>
    </xf>
    <xf numFmtId="0" fontId="52" fillId="0" borderId="21" xfId="103" applyFont="1" applyFill="1" applyBorder="1" applyAlignment="1">
      <alignment horizontal="right"/>
    </xf>
    <xf numFmtId="0" fontId="52" fillId="0" borderId="21" xfId="103" applyFont="1" applyFill="1" applyBorder="1" applyAlignment="1">
      <alignment horizontal="center"/>
    </xf>
    <xf numFmtId="0" fontId="51" fillId="0" borderId="21" xfId="0" applyFont="1" applyFill="1" applyBorder="1" applyAlignment="1">
      <alignment vertical="center"/>
    </xf>
    <xf numFmtId="0" fontId="52" fillId="0" borderId="9" xfId="0" applyFont="1" applyFill="1" applyBorder="1" applyAlignment="1">
      <alignment horizontal="right" vertical="center"/>
    </xf>
    <xf numFmtId="0" fontId="51" fillId="0" borderId="20" xfId="0" applyFont="1" applyFill="1" applyBorder="1" applyAlignment="1">
      <alignment horizontal="left" vertical="center"/>
    </xf>
    <xf numFmtId="0" fontId="52" fillId="0" borderId="20" xfId="0" applyFont="1" applyFill="1" applyBorder="1" applyAlignment="1">
      <alignment horizontal="left" vertical="center"/>
    </xf>
    <xf numFmtId="43" fontId="52" fillId="0" borderId="20" xfId="0" applyNumberFormat="1" applyFont="1" applyFill="1" applyBorder="1" applyAlignment="1">
      <alignment vertical="center"/>
    </xf>
    <xf numFmtId="49" fontId="52" fillId="0" borderId="20" xfId="0" applyNumberFormat="1" applyFont="1" applyFill="1" applyBorder="1" applyAlignment="1">
      <alignment vertical="center"/>
    </xf>
    <xf numFmtId="0" fontId="52" fillId="0" borderId="14" xfId="0" applyFont="1" applyFill="1" applyBorder="1" applyAlignment="1">
      <alignment vertical="center"/>
    </xf>
    <xf numFmtId="0" fontId="52" fillId="0" borderId="14" xfId="0" applyFont="1" applyFill="1" applyBorder="1" applyAlignment="1">
      <alignment horizontal="left" vertical="center" indent="2"/>
    </xf>
    <xf numFmtId="2" fontId="52" fillId="0" borderId="14" xfId="79" applyNumberFormat="1" applyFont="1" applyFill="1" applyBorder="1" applyAlignment="1">
      <alignment horizontal="right"/>
    </xf>
    <xf numFmtId="43" fontId="52" fillId="0" borderId="14" xfId="0" applyNumberFormat="1" applyFont="1" applyFill="1" applyBorder="1" applyAlignment="1">
      <alignment vertical="center"/>
    </xf>
    <xf numFmtId="0" fontId="51" fillId="0" borderId="14" xfId="0" applyFont="1" applyFill="1" applyBorder="1" applyAlignment="1">
      <alignment horizontal="left" vertical="center"/>
    </xf>
    <xf numFmtId="2" fontId="51" fillId="0" borderId="14" xfId="0" applyNumberFormat="1" applyFont="1" applyFill="1" applyBorder="1" applyAlignment="1">
      <alignment horizontal="right" vertical="center"/>
    </xf>
    <xf numFmtId="165" fontId="51" fillId="0" borderId="14" xfId="101" applyNumberFormat="1" applyFont="1" applyFill="1" applyBorder="1" applyAlignment="1">
      <alignment vertical="center"/>
    </xf>
    <xf numFmtId="0" fontId="51" fillId="0" borderId="21" xfId="0" applyFont="1" applyFill="1" applyBorder="1" applyAlignment="1">
      <alignment horizontal="left" vertical="center"/>
    </xf>
    <xf numFmtId="0" fontId="52" fillId="0" borderId="0" xfId="0" applyFont="1" applyFill="1" applyAlignment="1">
      <alignment horizontal="right"/>
    </xf>
    <xf numFmtId="4" fontId="52" fillId="0" borderId="0" xfId="101" applyNumberFormat="1" applyFont="1" applyFill="1" applyAlignment="1">
      <alignment horizontal="right"/>
    </xf>
    <xf numFmtId="49" fontId="52" fillId="0" borderId="17" xfId="104" applyNumberFormat="1" applyFont="1" applyBorder="1" applyAlignment="1">
      <alignment horizontal="left"/>
    </xf>
    <xf numFmtId="165" fontId="52" fillId="0" borderId="17" xfId="0" applyNumberFormat="1" applyFont="1" applyFill="1" applyBorder="1"/>
    <xf numFmtId="49" fontId="51" fillId="0" borderId="42" xfId="0" applyNumberFormat="1" applyFont="1" applyFill="1" applyBorder="1" applyAlignment="1">
      <alignment horizontal="center" vertical="center"/>
    </xf>
    <xf numFmtId="0" fontId="42" fillId="0" borderId="0" xfId="80" applyFont="1" applyBorder="1" applyAlignment="1">
      <alignment horizontal="center" vertical="top"/>
    </xf>
    <xf numFmtId="0" fontId="44" fillId="0" borderId="0" xfId="80" applyFont="1" applyBorder="1" applyAlignment="1">
      <alignment horizontal="left" vertical="top"/>
    </xf>
    <xf numFmtId="0" fontId="44" fillId="0" borderId="22" xfId="80" applyFont="1" applyBorder="1" applyAlignment="1"/>
    <xf numFmtId="0" fontId="44" fillId="0" borderId="15" xfId="80" applyFont="1" applyBorder="1" applyAlignment="1"/>
    <xf numFmtId="167" fontId="44" fillId="0" borderId="15" xfId="80" applyNumberFormat="1" applyFont="1" applyBorder="1" applyAlignment="1">
      <alignment horizontal="center"/>
    </xf>
    <xf numFmtId="165" fontId="44" fillId="0" borderId="37" xfId="80" applyNumberFormat="1" applyFont="1" applyBorder="1" applyAlignment="1"/>
    <xf numFmtId="165" fontId="44" fillId="0" borderId="38" xfId="80" applyNumberFormat="1" applyFont="1" applyBorder="1" applyAlignment="1"/>
    <xf numFmtId="165" fontId="44" fillId="0" borderId="45" xfId="80" applyNumberFormat="1" applyFont="1" applyBorder="1" applyAlignment="1"/>
    <xf numFmtId="0" fontId="44" fillId="0" borderId="46" xfId="80" applyFont="1" applyBorder="1" applyAlignment="1" applyProtection="1">
      <alignment horizontal="left" vertical="top" indent="2"/>
      <protection hidden="1"/>
    </xf>
    <xf numFmtId="0" fontId="44" fillId="0" borderId="36" xfId="80" applyFont="1" applyBorder="1" applyAlignment="1" applyProtection="1">
      <alignment horizontal="left" vertical="top" indent="2"/>
      <protection hidden="1"/>
    </xf>
    <xf numFmtId="0" fontId="44" fillId="0" borderId="47" xfId="80" applyFont="1" applyBorder="1" applyAlignment="1" applyProtection="1">
      <alignment horizontal="left" vertical="top" indent="2"/>
      <protection hidden="1"/>
    </xf>
    <xf numFmtId="165" fontId="44" fillId="0" borderId="30" xfId="101" applyFont="1" applyBorder="1" applyAlignment="1">
      <alignment horizontal="center"/>
    </xf>
    <xf numFmtId="0" fontId="44" fillId="0" borderId="38" xfId="80" applyFont="1" applyBorder="1" applyAlignment="1" applyProtection="1">
      <alignment vertical="top"/>
      <protection hidden="1"/>
    </xf>
    <xf numFmtId="0" fontId="44" fillId="0" borderId="38" xfId="80" applyFont="1" applyBorder="1" applyAlignment="1">
      <alignment horizontal="center"/>
    </xf>
    <xf numFmtId="0" fontId="44" fillId="0" borderId="31" xfId="80" applyFont="1" applyBorder="1" applyAlignment="1" applyProtection="1">
      <alignment horizontal="left" vertical="top" indent="2"/>
      <protection hidden="1"/>
    </xf>
    <xf numFmtId="165" fontId="44" fillId="0" borderId="31" xfId="101" applyNumberFormat="1" applyFont="1" applyBorder="1" applyAlignment="1" applyProtection="1">
      <alignment horizontal="center" vertical="top"/>
      <protection locked="0"/>
    </xf>
    <xf numFmtId="0" fontId="44" fillId="0" borderId="38" xfId="80" applyFont="1" applyBorder="1" applyAlignment="1" applyProtection="1">
      <alignment horizontal="left" vertical="top" indent="2"/>
      <protection hidden="1"/>
    </xf>
    <xf numFmtId="165" fontId="44" fillId="0" borderId="38" xfId="101" applyNumberFormat="1" applyFont="1" applyBorder="1" applyAlignment="1" applyProtection="1">
      <alignment horizontal="center" vertical="top"/>
      <protection hidden="1"/>
    </xf>
    <xf numFmtId="0" fontId="44" fillId="0" borderId="0" xfId="80" applyFont="1" applyBorder="1" applyAlignment="1">
      <alignment horizontal="left"/>
    </xf>
    <xf numFmtId="165" fontId="44" fillId="0" borderId="19" xfId="80" applyNumberFormat="1" applyFont="1" applyBorder="1" applyAlignment="1" applyProtection="1">
      <alignment horizontal="center"/>
      <protection hidden="1"/>
    </xf>
    <xf numFmtId="165" fontId="44" fillId="0" borderId="5" xfId="80" applyNumberFormat="1" applyFont="1" applyBorder="1" applyAlignment="1" applyProtection="1">
      <alignment horizontal="center"/>
      <protection hidden="1"/>
    </xf>
    <xf numFmtId="165" fontId="44" fillId="0" borderId="18" xfId="80" applyNumberFormat="1" applyFont="1" applyBorder="1" applyAlignment="1" applyProtection="1">
      <alignment horizontal="center"/>
      <protection hidden="1"/>
    </xf>
    <xf numFmtId="0" fontId="44" fillId="0" borderId="38" xfId="80" applyFont="1" applyBorder="1" applyAlignment="1" applyProtection="1">
      <alignment horizontal="center" vertical="center"/>
      <protection hidden="1"/>
    </xf>
    <xf numFmtId="0" fontId="44" fillId="0" borderId="38" xfId="80" applyFont="1" applyBorder="1" applyAlignment="1" applyProtection="1">
      <alignment horizontal="left" vertical="top" indent="1"/>
      <protection hidden="1"/>
    </xf>
    <xf numFmtId="0" fontId="44" fillId="0" borderId="45" xfId="80" applyFont="1" applyBorder="1" applyAlignment="1" applyProtection="1">
      <alignment horizontal="left" vertical="top" indent="1"/>
      <protection hidden="1"/>
    </xf>
    <xf numFmtId="0" fontId="44" fillId="0" borderId="15" xfId="80" applyFont="1" applyBorder="1" applyAlignment="1" applyProtection="1">
      <alignment horizontal="left" vertical="center" indent="2"/>
      <protection hidden="1"/>
    </xf>
    <xf numFmtId="0" fontId="44" fillId="0" borderId="23" xfId="80" applyFont="1" applyBorder="1" applyAlignment="1" applyProtection="1">
      <alignment horizontal="left" vertical="center" indent="2"/>
      <protection hidden="1"/>
    </xf>
    <xf numFmtId="10" fontId="44" fillId="0" borderId="22" xfId="80" applyNumberFormat="1" applyFont="1" applyBorder="1" applyAlignment="1" applyProtection="1">
      <alignment horizontal="center" vertical="top"/>
      <protection locked="0"/>
    </xf>
    <xf numFmtId="10" fontId="44" fillId="0" borderId="15" xfId="80" applyNumberFormat="1" applyFont="1" applyBorder="1" applyAlignment="1" applyProtection="1">
      <alignment horizontal="center" vertical="top"/>
      <protection locked="0"/>
    </xf>
    <xf numFmtId="165" fontId="44" fillId="0" borderId="15" xfId="80" applyNumberFormat="1" applyFont="1" applyBorder="1" applyAlignment="1">
      <alignment horizontal="center"/>
    </xf>
    <xf numFmtId="0" fontId="44" fillId="0" borderId="36" xfId="80" applyFont="1" applyBorder="1" applyAlignment="1"/>
    <xf numFmtId="0" fontId="44" fillId="0" borderId="47" xfId="80" applyFont="1" applyBorder="1" applyAlignment="1"/>
    <xf numFmtId="0" fontId="44" fillId="0" borderId="20" xfId="80" applyFont="1" applyBorder="1" applyAlignment="1" applyProtection="1">
      <alignment horizontal="left" vertical="center" indent="2"/>
      <protection hidden="1"/>
    </xf>
    <xf numFmtId="0" fontId="44" fillId="0" borderId="32" xfId="80" applyFont="1" applyBorder="1" applyAlignment="1" applyProtection="1">
      <alignment horizontal="left" vertical="center" indent="2"/>
      <protection hidden="1"/>
    </xf>
    <xf numFmtId="49" fontId="44" fillId="0" borderId="27" xfId="80" applyNumberFormat="1" applyFont="1" applyBorder="1" applyAlignment="1" applyProtection="1">
      <alignment horizontal="center" vertical="top"/>
      <protection locked="0"/>
    </xf>
    <xf numFmtId="49" fontId="44" fillId="0" borderId="14" xfId="80" applyNumberFormat="1" applyFont="1" applyBorder="1" applyAlignment="1" applyProtection="1">
      <alignment horizontal="center" vertical="top"/>
      <protection locked="0"/>
    </xf>
    <xf numFmtId="165" fontId="44" fillId="0" borderId="14" xfId="80" applyNumberFormat="1" applyFont="1" applyBorder="1" applyAlignment="1">
      <alignment horizontal="center"/>
    </xf>
    <xf numFmtId="167" fontId="44" fillId="0" borderId="14" xfId="80" applyNumberFormat="1" applyFont="1" applyBorder="1" applyAlignment="1">
      <alignment horizontal="center"/>
    </xf>
    <xf numFmtId="0" fontId="44" fillId="0" borderId="14" xfId="80" applyFont="1" applyBorder="1" applyAlignment="1" applyProtection="1">
      <alignment horizontal="left" vertical="center" indent="2"/>
      <protection hidden="1"/>
    </xf>
    <xf numFmtId="0" fontId="44" fillId="0" borderId="26" xfId="80" applyFont="1" applyBorder="1" applyAlignment="1" applyProtection="1">
      <alignment horizontal="left" vertical="center" indent="2"/>
      <protection hidden="1"/>
    </xf>
    <xf numFmtId="10" fontId="44" fillId="0" borderId="27" xfId="80" applyNumberFormat="1" applyFont="1" applyBorder="1" applyAlignment="1" applyProtection="1">
      <alignment horizontal="center" vertical="top"/>
      <protection locked="0"/>
    </xf>
    <xf numFmtId="10" fontId="44" fillId="0" borderId="14" xfId="80" applyNumberFormat="1" applyFont="1" applyBorder="1" applyAlignment="1" applyProtection="1">
      <alignment horizontal="center" vertical="top"/>
      <protection locked="0"/>
    </xf>
    <xf numFmtId="165" fontId="44" fillId="0" borderId="26" xfId="80" applyNumberFormat="1" applyFont="1" applyBorder="1" applyAlignment="1"/>
    <xf numFmtId="165" fontId="44" fillId="0" borderId="24" xfId="80" applyNumberFormat="1" applyFont="1" applyBorder="1" applyAlignment="1"/>
    <xf numFmtId="165" fontId="44" fillId="0" borderId="27" xfId="80" applyNumberFormat="1" applyFont="1" applyBorder="1" applyAlignment="1"/>
    <xf numFmtId="0" fontId="44" fillId="0" borderId="27" xfId="80" applyFont="1" applyBorder="1" applyAlignment="1"/>
    <xf numFmtId="0" fontId="44" fillId="0" borderId="14" xfId="80" applyFont="1" applyBorder="1" applyAlignment="1"/>
    <xf numFmtId="165" fontId="44" fillId="0" borderId="32" xfId="80" applyNumberFormat="1" applyFont="1" applyBorder="1" applyAlignment="1"/>
    <xf numFmtId="165" fontId="44" fillId="0" borderId="31" xfId="80" applyNumberFormat="1" applyFont="1" applyBorder="1" applyAlignment="1"/>
    <xf numFmtId="165" fontId="44" fillId="0" borderId="44" xfId="80" applyNumberFormat="1" applyFont="1" applyBorder="1" applyAlignment="1"/>
    <xf numFmtId="0" fontId="44" fillId="0" borderId="44" xfId="80" applyFont="1" applyBorder="1" applyAlignment="1">
      <alignment vertical="center"/>
    </xf>
    <xf numFmtId="0" fontId="44" fillId="0" borderId="20" xfId="80" applyFont="1" applyBorder="1" applyAlignment="1">
      <alignment vertical="center"/>
    </xf>
    <xf numFmtId="0" fontId="44" fillId="0" borderId="26" xfId="80" applyFont="1" applyBorder="1" applyAlignment="1">
      <alignment horizontal="left" vertical="top"/>
    </xf>
    <xf numFmtId="0" fontId="44" fillId="0" borderId="24" xfId="80" applyFont="1" applyBorder="1" applyAlignment="1">
      <alignment horizontal="left" vertical="top"/>
    </xf>
    <xf numFmtId="0" fontId="44" fillId="0" borderId="27" xfId="80" applyFont="1" applyBorder="1" applyAlignment="1">
      <alignment horizontal="left" vertical="top"/>
    </xf>
    <xf numFmtId="0" fontId="42" fillId="0" borderId="20" xfId="80" applyFont="1" applyBorder="1" applyAlignment="1" applyProtection="1">
      <alignment horizontal="left" vertical="center"/>
      <protection hidden="1"/>
    </xf>
    <xf numFmtId="165" fontId="44" fillId="0" borderId="20" xfId="80" applyNumberFormat="1" applyFont="1" applyBorder="1" applyAlignment="1" applyProtection="1">
      <alignment horizontal="center" vertical="center"/>
      <protection hidden="1"/>
    </xf>
    <xf numFmtId="184" fontId="44" fillId="0" borderId="20" xfId="109" applyNumberFormat="1" applyFont="1" applyBorder="1" applyAlignment="1" applyProtection="1">
      <alignment horizontal="center" vertical="center"/>
      <protection hidden="1"/>
    </xf>
    <xf numFmtId="165" fontId="44" fillId="0" borderId="32" xfId="80" applyNumberFormat="1" applyFont="1" applyBorder="1" applyAlignment="1" applyProtection="1">
      <alignment vertical="center"/>
      <protection hidden="1"/>
    </xf>
    <xf numFmtId="165" fontId="44" fillId="0" borderId="31" xfId="80" applyNumberFormat="1" applyFont="1" applyBorder="1" applyAlignment="1" applyProtection="1">
      <alignment vertical="center"/>
      <protection hidden="1"/>
    </xf>
    <xf numFmtId="165" fontId="44" fillId="0" borderId="44" xfId="80" applyNumberFormat="1" applyFont="1" applyBorder="1" applyAlignment="1" applyProtection="1">
      <alignment vertical="center"/>
      <protection hidden="1"/>
    </xf>
    <xf numFmtId="10" fontId="44" fillId="0" borderId="14" xfId="80" applyNumberFormat="1" applyFont="1" applyBorder="1" applyAlignment="1">
      <alignment horizontal="center"/>
    </xf>
    <xf numFmtId="0" fontId="48" fillId="0" borderId="33" xfId="80" applyFont="1" applyBorder="1" applyAlignment="1"/>
    <xf numFmtId="0" fontId="44" fillId="0" borderId="33" xfId="80" applyFont="1" applyBorder="1" applyAlignment="1"/>
    <xf numFmtId="0" fontId="44" fillId="0" borderId="33" xfId="80" applyFont="1" applyBorder="1" applyAlignment="1">
      <alignment horizontal="center"/>
    </xf>
    <xf numFmtId="0" fontId="44" fillId="0" borderId="24" xfId="80" applyFont="1" applyBorder="1" applyAlignment="1" applyProtection="1">
      <alignment horizontal="left" vertical="top"/>
      <protection hidden="1"/>
    </xf>
    <xf numFmtId="0" fontId="44" fillId="0" borderId="24" xfId="80" applyFont="1" applyBorder="1" applyAlignment="1" applyProtection="1">
      <alignment vertical="top"/>
      <protection hidden="1"/>
    </xf>
    <xf numFmtId="169" fontId="44" fillId="0" borderId="24" xfId="80" applyNumberFormat="1" applyFont="1" applyBorder="1" applyAlignment="1">
      <alignment horizontal="left" vertical="top"/>
    </xf>
    <xf numFmtId="0" fontId="44" fillId="0" borderId="24" xfId="80" applyFont="1" applyBorder="1" applyAlignment="1" applyProtection="1">
      <alignment horizontal="left" vertical="top" indent="2"/>
      <protection hidden="1"/>
    </xf>
    <xf numFmtId="165" fontId="43" fillId="0" borderId="0" xfId="0" applyNumberFormat="1" applyFont="1" applyAlignment="1">
      <alignment horizontal="center"/>
    </xf>
    <xf numFmtId="0" fontId="44" fillId="0" borderId="24" xfId="80" applyFont="1" applyBorder="1" applyAlignment="1" applyProtection="1">
      <alignment vertical="top" wrapText="1"/>
      <protection hidden="1"/>
    </xf>
    <xf numFmtId="0" fontId="42" fillId="0" borderId="24" xfId="80" applyFont="1" applyBorder="1" applyAlignment="1" applyProtection="1">
      <alignment vertical="top"/>
      <protection hidden="1"/>
    </xf>
    <xf numFmtId="0" fontId="42" fillId="0" borderId="0" xfId="80" applyFont="1" applyAlignment="1">
      <alignment horizontal="center" vertical="top"/>
    </xf>
    <xf numFmtId="0" fontId="42" fillId="0" borderId="39" xfId="80" applyFont="1" applyBorder="1" applyAlignment="1">
      <alignment horizontal="left" vertical="top"/>
    </xf>
    <xf numFmtId="0" fontId="42" fillId="0" borderId="36" xfId="80" applyFont="1" applyBorder="1" applyAlignment="1" applyProtection="1">
      <alignment vertical="top"/>
      <protection hidden="1"/>
    </xf>
    <xf numFmtId="0" fontId="44" fillId="0" borderId="24" xfId="80" applyFont="1" applyBorder="1" applyAlignment="1" applyProtection="1">
      <alignment vertical="top" wrapText="1"/>
      <protection locked="0"/>
    </xf>
    <xf numFmtId="0" fontId="44" fillId="0" borderId="24" xfId="80" applyFont="1" applyBorder="1" applyAlignment="1" applyProtection="1">
      <alignment vertical="top"/>
      <protection locked="0"/>
    </xf>
    <xf numFmtId="0" fontId="42" fillId="0" borderId="9" xfId="80" applyFont="1" applyBorder="1" applyAlignment="1" applyProtection="1">
      <alignment horizontal="center" vertical="center"/>
      <protection hidden="1"/>
    </xf>
    <xf numFmtId="0" fontId="42" fillId="0" borderId="9" xfId="80" applyFont="1" applyBorder="1" applyAlignment="1" applyProtection="1">
      <alignment horizontal="center" vertical="center" wrapText="1"/>
      <protection hidden="1"/>
    </xf>
    <xf numFmtId="0" fontId="42" fillId="0" borderId="9" xfId="80" applyFont="1" applyBorder="1" applyAlignment="1" applyProtection="1">
      <alignment horizontal="center" wrapText="1"/>
      <protection hidden="1"/>
    </xf>
    <xf numFmtId="0" fontId="42" fillId="0" borderId="9" xfId="80" applyFont="1" applyBorder="1" applyAlignment="1" applyProtection="1">
      <alignment horizontal="center"/>
      <protection hidden="1"/>
    </xf>
    <xf numFmtId="0" fontId="42" fillId="0" borderId="5" xfId="80" applyFont="1" applyBorder="1" applyAlignment="1" applyProtection="1">
      <alignment horizontal="center" vertical="center"/>
      <protection hidden="1"/>
    </xf>
    <xf numFmtId="0" fontId="42" fillId="0" borderId="18" xfId="80" applyFont="1" applyBorder="1" applyAlignment="1" applyProtection="1">
      <alignment horizontal="center" vertical="center"/>
      <protection hidden="1"/>
    </xf>
    <xf numFmtId="0" fontId="44" fillId="0" borderId="38" xfId="80" applyFont="1" applyBorder="1" applyAlignment="1"/>
    <xf numFmtId="181" fontId="42" fillId="0" borderId="24" xfId="80" applyNumberFormat="1" applyFont="1" applyBorder="1" applyAlignment="1" applyProtection="1">
      <alignment horizontal="center"/>
      <protection hidden="1"/>
    </xf>
    <xf numFmtId="0" fontId="45" fillId="0" borderId="0" xfId="0" applyFont="1" applyFill="1" applyBorder="1" applyAlignment="1" applyProtection="1">
      <alignment horizontal="center"/>
      <protection hidden="1"/>
    </xf>
    <xf numFmtId="0" fontId="42" fillId="0" borderId="9" xfId="0" applyFont="1" applyFill="1" applyBorder="1" applyAlignment="1" applyProtection="1">
      <alignment horizontal="center" vertical="center"/>
      <protection hidden="1"/>
    </xf>
    <xf numFmtId="49" fontId="42" fillId="0" borderId="9" xfId="0" applyNumberFormat="1" applyFont="1" applyFill="1" applyBorder="1" applyAlignment="1" applyProtection="1">
      <alignment horizontal="center" vertical="center"/>
      <protection hidden="1"/>
    </xf>
    <xf numFmtId="0" fontId="42" fillId="0" borderId="9" xfId="0" applyFont="1" applyFill="1" applyBorder="1" applyAlignment="1" applyProtection="1">
      <alignment horizontal="center" vertical="top"/>
      <protection hidden="1"/>
    </xf>
    <xf numFmtId="165" fontId="42" fillId="0" borderId="9" xfId="101" applyFont="1" applyFill="1" applyBorder="1" applyAlignment="1" applyProtection="1">
      <alignment horizontal="center" vertical="center" wrapText="1"/>
      <protection hidden="1"/>
    </xf>
    <xf numFmtId="165" fontId="42" fillId="0" borderId="9" xfId="101" applyFont="1" applyFill="1" applyBorder="1" applyAlignment="1" applyProtection="1">
      <alignment horizontal="center" vertical="center"/>
      <protection hidden="1"/>
    </xf>
    <xf numFmtId="0" fontId="49" fillId="0" borderId="0" xfId="0" applyFont="1" applyFill="1" applyBorder="1" applyAlignment="1" applyProtection="1">
      <alignment horizontal="center"/>
      <protection hidden="1"/>
    </xf>
    <xf numFmtId="0" fontId="50" fillId="0" borderId="39" xfId="0" applyFont="1" applyFill="1" applyBorder="1" applyAlignment="1">
      <alignment horizontal="center"/>
    </xf>
    <xf numFmtId="0" fontId="51" fillId="0" borderId="25" xfId="0" applyFont="1" applyFill="1" applyBorder="1" applyAlignment="1" applyProtection="1">
      <alignment horizontal="center" vertical="center"/>
      <protection hidden="1"/>
    </xf>
    <xf numFmtId="0" fontId="51" fillId="0" borderId="15" xfId="0" applyFont="1" applyFill="1" applyBorder="1" applyAlignment="1" applyProtection="1">
      <alignment horizontal="center" vertical="center"/>
      <protection hidden="1"/>
    </xf>
    <xf numFmtId="49" fontId="51" fillId="0" borderId="25" xfId="0" applyNumberFormat="1" applyFont="1" applyFill="1" applyBorder="1" applyAlignment="1" applyProtection="1">
      <alignment horizontal="center" vertical="center"/>
      <protection hidden="1"/>
    </xf>
    <xf numFmtId="49" fontId="51" fillId="0" borderId="15" xfId="0" applyNumberFormat="1" applyFont="1" applyFill="1" applyBorder="1" applyAlignment="1" applyProtection="1">
      <alignment horizontal="center" vertical="center"/>
      <protection hidden="1"/>
    </xf>
    <xf numFmtId="0" fontId="51" fillId="0" borderId="19" xfId="0" applyFont="1" applyFill="1" applyBorder="1" applyAlignment="1" applyProtection="1">
      <alignment horizontal="center" vertical="top"/>
      <protection hidden="1"/>
    </xf>
    <xf numFmtId="0" fontId="51" fillId="0" borderId="18" xfId="0" applyFont="1" applyFill="1" applyBorder="1" applyAlignment="1" applyProtection="1">
      <alignment horizontal="center" vertical="top"/>
      <protection hidden="1"/>
    </xf>
    <xf numFmtId="165" fontId="51" fillId="0" borderId="25" xfId="101" applyFont="1" applyFill="1" applyBorder="1" applyAlignment="1" applyProtection="1">
      <alignment horizontal="center" vertical="center" wrapText="1"/>
      <protection hidden="1"/>
    </xf>
    <xf numFmtId="165" fontId="51" fillId="0" borderId="15" xfId="101" applyFont="1" applyFill="1" applyBorder="1" applyAlignment="1" applyProtection="1">
      <alignment horizontal="center" vertical="center" wrapText="1"/>
      <protection hidden="1"/>
    </xf>
    <xf numFmtId="0" fontId="50" fillId="0" borderId="0" xfId="0" applyFont="1" applyFill="1" applyBorder="1" applyAlignment="1">
      <alignment horizontal="center"/>
    </xf>
    <xf numFmtId="0" fontId="51" fillId="0" borderId="9" xfId="0" applyFont="1" applyFill="1" applyBorder="1" applyAlignment="1" applyProtection="1">
      <alignment horizontal="center" vertical="center"/>
      <protection hidden="1"/>
    </xf>
    <xf numFmtId="49" fontId="51" fillId="0" borderId="9" xfId="0" applyNumberFormat="1" applyFont="1" applyFill="1" applyBorder="1" applyAlignment="1" applyProtection="1">
      <alignment horizontal="center" vertical="center"/>
      <protection hidden="1"/>
    </xf>
    <xf numFmtId="0" fontId="51" fillId="0" borderId="19" xfId="0" applyFont="1" applyFill="1" applyBorder="1" applyAlignment="1" applyProtection="1">
      <alignment horizontal="center" vertical="center"/>
      <protection hidden="1"/>
    </xf>
    <xf numFmtId="0" fontId="51" fillId="0" borderId="9" xfId="0" applyFont="1" applyFill="1" applyBorder="1" applyAlignment="1" applyProtection="1">
      <alignment horizontal="right" vertical="center"/>
      <protection hidden="1"/>
    </xf>
    <xf numFmtId="0" fontId="51" fillId="0" borderId="9" xfId="0" applyFont="1" applyFill="1" applyBorder="1" applyAlignment="1" applyProtection="1">
      <alignment horizontal="center" vertical="top"/>
      <protection hidden="1"/>
    </xf>
    <xf numFmtId="165" fontId="51" fillId="0" borderId="9" xfId="101" applyFont="1" applyFill="1" applyBorder="1" applyAlignment="1" applyProtection="1">
      <alignment horizontal="center" vertical="center" wrapText="1"/>
      <protection hidden="1"/>
    </xf>
    <xf numFmtId="165" fontId="51" fillId="0" borderId="9" xfId="101" applyFont="1" applyFill="1" applyBorder="1" applyAlignment="1" applyProtection="1">
      <alignment horizontal="center" vertical="center"/>
      <protection hidden="1"/>
    </xf>
    <xf numFmtId="49" fontId="51" fillId="0" borderId="18" xfId="0" applyNumberFormat="1" applyFont="1" applyFill="1" applyBorder="1" applyAlignment="1" applyProtection="1">
      <alignment horizontal="center" vertical="center"/>
      <protection hidden="1"/>
    </xf>
    <xf numFmtId="0" fontId="47" fillId="0" borderId="0" xfId="0" applyFont="1" applyFill="1" applyBorder="1" applyAlignment="1">
      <alignment horizontal="center"/>
    </xf>
    <xf numFmtId="0" fontId="42" fillId="0" borderId="19" xfId="0" applyFont="1" applyFill="1" applyBorder="1" applyAlignment="1" applyProtection="1">
      <alignment horizontal="center" vertical="center"/>
      <protection hidden="1"/>
    </xf>
    <xf numFmtId="4" fontId="42" fillId="0" borderId="9" xfId="0" applyNumberFormat="1" applyFont="1" applyFill="1" applyBorder="1" applyAlignment="1" applyProtection="1">
      <alignment horizontal="right" vertical="center"/>
      <protection hidden="1"/>
    </xf>
    <xf numFmtId="49" fontId="42" fillId="0" borderId="18" xfId="0" applyNumberFormat="1" applyFont="1" applyFill="1" applyBorder="1" applyAlignment="1" applyProtection="1">
      <alignment horizontal="center" vertical="center"/>
      <protection hidden="1"/>
    </xf>
    <xf numFmtId="165" fontId="45" fillId="0" borderId="0" xfId="0" applyNumberFormat="1" applyFont="1" applyFill="1" applyBorder="1" applyAlignment="1">
      <alignment horizontal="center"/>
    </xf>
    <xf numFmtId="165" fontId="44" fillId="0" borderId="9" xfId="0" applyNumberFormat="1" applyFont="1" applyFill="1" applyBorder="1" applyAlignment="1" applyProtection="1">
      <alignment horizontal="center" vertical="top"/>
      <protection hidden="1"/>
    </xf>
    <xf numFmtId="165" fontId="44" fillId="0" borderId="9" xfId="101" applyNumberFormat="1" applyFont="1" applyFill="1" applyBorder="1" applyAlignment="1" applyProtection="1">
      <alignment horizontal="center" vertical="center" wrapText="1"/>
      <protection hidden="1"/>
    </xf>
    <xf numFmtId="165" fontId="44" fillId="0" borderId="9" xfId="101" applyNumberFormat="1" applyFont="1" applyFill="1" applyBorder="1" applyAlignment="1" applyProtection="1">
      <alignment horizontal="center" vertical="center"/>
      <protection hidden="1"/>
    </xf>
    <xf numFmtId="0" fontId="44" fillId="0" borderId="18" xfId="0" applyFont="1" applyFill="1" applyBorder="1" applyAlignment="1" applyProtection="1">
      <alignment horizontal="center" vertical="center"/>
      <protection hidden="1"/>
    </xf>
    <xf numFmtId="0" fontId="44" fillId="0" borderId="9" xfId="0" applyFont="1" applyFill="1" applyBorder="1" applyAlignment="1" applyProtection="1">
      <alignment horizontal="center" vertical="center"/>
      <protection hidden="1"/>
    </xf>
    <xf numFmtId="49" fontId="44" fillId="0" borderId="9" xfId="0" applyNumberFormat="1" applyFont="1" applyFill="1" applyBorder="1" applyAlignment="1" applyProtection="1">
      <alignment horizontal="center" vertical="center"/>
      <protection hidden="1"/>
    </xf>
    <xf numFmtId="0" fontId="44" fillId="0" borderId="19" xfId="0" applyFont="1" applyFill="1" applyBorder="1" applyAlignment="1" applyProtection="1">
      <alignment horizontal="center" vertical="center"/>
      <protection hidden="1"/>
    </xf>
    <xf numFmtId="165" fontId="44" fillId="0" borderId="9" xfId="0" applyNumberFormat="1" applyFont="1" applyFill="1" applyBorder="1" applyAlignment="1" applyProtection="1">
      <alignment horizontal="right" vertical="center"/>
      <protection hidden="1"/>
    </xf>
    <xf numFmtId="165" fontId="44" fillId="0" borderId="9" xfId="0" applyNumberFormat="1" applyFont="1" applyFill="1" applyBorder="1" applyAlignment="1" applyProtection="1">
      <alignment horizontal="center" vertical="center"/>
      <protection hidden="1"/>
    </xf>
  </cellXfs>
  <cellStyles count="110">
    <cellStyle name=",;F'KOIT[[WAAHK" xfId="2" xr:uid="{00000000-0005-0000-0000-000000000000}"/>
    <cellStyle name="?? [0]_PERSONAL" xfId="3" xr:uid="{00000000-0005-0000-0000-000001000000}"/>
    <cellStyle name="???? [0.00]_????" xfId="4" xr:uid="{00000000-0005-0000-0000-000002000000}"/>
    <cellStyle name="??????[0]_PERSONAL" xfId="5" xr:uid="{00000000-0005-0000-0000-000003000000}"/>
    <cellStyle name="??????PERSONAL" xfId="6" xr:uid="{00000000-0005-0000-0000-000004000000}"/>
    <cellStyle name="?????[0]_PERSONAL" xfId="7" xr:uid="{00000000-0005-0000-0000-000005000000}"/>
    <cellStyle name="?????PERSONAL" xfId="8" xr:uid="{00000000-0005-0000-0000-000006000000}"/>
    <cellStyle name="????_????" xfId="9" xr:uid="{00000000-0005-0000-0000-000007000000}"/>
    <cellStyle name="???[0]_PERSONAL" xfId="10" xr:uid="{00000000-0005-0000-0000-000008000000}"/>
    <cellStyle name="???_PERSONAL" xfId="11" xr:uid="{00000000-0005-0000-0000-000009000000}"/>
    <cellStyle name="??_??" xfId="12" xr:uid="{00000000-0005-0000-0000-00000A000000}"/>
    <cellStyle name="?@??laroux" xfId="13" xr:uid="{00000000-0005-0000-0000-00000B000000}"/>
    <cellStyle name="=C:\WINDOWS\SYSTEM32\COMMAND.COM" xfId="14" xr:uid="{00000000-0005-0000-0000-00000C000000}"/>
    <cellStyle name="20% - Accent1" xfId="15" xr:uid="{00000000-0005-0000-0000-00000D000000}"/>
    <cellStyle name="20% - Accent2" xfId="16" xr:uid="{00000000-0005-0000-0000-00000E000000}"/>
    <cellStyle name="20% - Accent3" xfId="17" xr:uid="{00000000-0005-0000-0000-00000F000000}"/>
    <cellStyle name="20% - Accent4" xfId="18" xr:uid="{00000000-0005-0000-0000-000010000000}"/>
    <cellStyle name="20% - Accent5" xfId="19" xr:uid="{00000000-0005-0000-0000-000011000000}"/>
    <cellStyle name="20% - Accent6" xfId="20" xr:uid="{00000000-0005-0000-0000-000012000000}"/>
    <cellStyle name="40% - Accent1" xfId="21" xr:uid="{00000000-0005-0000-0000-000013000000}"/>
    <cellStyle name="40% - Accent2" xfId="22" xr:uid="{00000000-0005-0000-0000-000014000000}"/>
    <cellStyle name="40% - Accent3" xfId="23" xr:uid="{00000000-0005-0000-0000-000015000000}"/>
    <cellStyle name="40% - Accent4" xfId="24" xr:uid="{00000000-0005-0000-0000-000016000000}"/>
    <cellStyle name="40% - Accent5" xfId="25" xr:uid="{00000000-0005-0000-0000-000017000000}"/>
    <cellStyle name="40% - Accent6" xfId="26" xr:uid="{00000000-0005-0000-0000-000018000000}"/>
    <cellStyle name="60% - Accent1" xfId="27" xr:uid="{00000000-0005-0000-0000-000019000000}"/>
    <cellStyle name="60% - Accent2" xfId="28" xr:uid="{00000000-0005-0000-0000-00001A000000}"/>
    <cellStyle name="60% - Accent3" xfId="29" xr:uid="{00000000-0005-0000-0000-00001B000000}"/>
    <cellStyle name="60% - Accent4" xfId="30" xr:uid="{00000000-0005-0000-0000-00001C000000}"/>
    <cellStyle name="60% - Accent5" xfId="31" xr:uid="{00000000-0005-0000-0000-00001D000000}"/>
    <cellStyle name="60% - Accent6" xfId="32" xr:uid="{00000000-0005-0000-0000-00001E000000}"/>
    <cellStyle name="Accent1" xfId="33" xr:uid="{00000000-0005-0000-0000-00001F000000}"/>
    <cellStyle name="Accent2" xfId="34" xr:uid="{00000000-0005-0000-0000-000020000000}"/>
    <cellStyle name="Accent3" xfId="35" xr:uid="{00000000-0005-0000-0000-000021000000}"/>
    <cellStyle name="Accent4" xfId="36" xr:uid="{00000000-0005-0000-0000-000022000000}"/>
    <cellStyle name="Accent5" xfId="37" xr:uid="{00000000-0005-0000-0000-000023000000}"/>
    <cellStyle name="Accent6" xfId="38" xr:uid="{00000000-0005-0000-0000-000024000000}"/>
    <cellStyle name="Bad" xfId="39" xr:uid="{00000000-0005-0000-0000-000025000000}"/>
    <cellStyle name="Calc Currency (0)" xfId="40" xr:uid="{00000000-0005-0000-0000-000026000000}"/>
    <cellStyle name="Calc Currency (2)" xfId="41" xr:uid="{00000000-0005-0000-0000-000027000000}"/>
    <cellStyle name="Calc Percent (0)" xfId="42" xr:uid="{00000000-0005-0000-0000-000028000000}"/>
    <cellStyle name="Calc Percent (1)" xfId="43" xr:uid="{00000000-0005-0000-0000-000029000000}"/>
    <cellStyle name="Calc Percent (2)" xfId="44" xr:uid="{00000000-0005-0000-0000-00002A000000}"/>
    <cellStyle name="Calc Units (0)" xfId="45" xr:uid="{00000000-0005-0000-0000-00002B000000}"/>
    <cellStyle name="Calc Units (1)" xfId="46" xr:uid="{00000000-0005-0000-0000-00002C000000}"/>
    <cellStyle name="Calc Units (2)" xfId="47" xr:uid="{00000000-0005-0000-0000-00002D000000}"/>
    <cellStyle name="Calculation" xfId="48" xr:uid="{00000000-0005-0000-0000-00002E000000}"/>
    <cellStyle name="Check Cell" xfId="49" xr:uid="{00000000-0005-0000-0000-00002F000000}"/>
    <cellStyle name="Comma" xfId="101" builtinId="3"/>
    <cellStyle name="Comma [00]" xfId="50" xr:uid="{00000000-0005-0000-0000-000031000000}"/>
    <cellStyle name="Currency [00]" xfId="51" xr:uid="{00000000-0005-0000-0000-000032000000}"/>
    <cellStyle name="Date Short" xfId="52" xr:uid="{00000000-0005-0000-0000-000033000000}"/>
    <cellStyle name="Dillernia=14" xfId="53" xr:uid="{00000000-0005-0000-0000-000034000000}"/>
    <cellStyle name="Enter Currency (0)" xfId="54" xr:uid="{00000000-0005-0000-0000-000035000000}"/>
    <cellStyle name="Enter Currency (2)" xfId="55" xr:uid="{00000000-0005-0000-0000-000036000000}"/>
    <cellStyle name="Enter Units (0)" xfId="56" xr:uid="{00000000-0005-0000-0000-000037000000}"/>
    <cellStyle name="Enter Units (1)" xfId="57" xr:uid="{00000000-0005-0000-0000-000038000000}"/>
    <cellStyle name="Enter Units (2)" xfId="58" xr:uid="{00000000-0005-0000-0000-000039000000}"/>
    <cellStyle name="Explanatory Text" xfId="59" xr:uid="{00000000-0005-0000-0000-00003A000000}"/>
    <cellStyle name="Good" xfId="60" xr:uid="{00000000-0005-0000-0000-00003B000000}"/>
    <cellStyle name="Grey" xfId="61" xr:uid="{00000000-0005-0000-0000-00003C000000}"/>
    <cellStyle name="Header1" xfId="62" xr:uid="{00000000-0005-0000-0000-00003D000000}"/>
    <cellStyle name="Header2" xfId="63" xr:uid="{00000000-0005-0000-0000-00003E000000}"/>
    <cellStyle name="Heading 1" xfId="64" xr:uid="{00000000-0005-0000-0000-00003F000000}"/>
    <cellStyle name="Heading 2" xfId="65" xr:uid="{00000000-0005-0000-0000-000040000000}"/>
    <cellStyle name="Heading 3" xfId="66" xr:uid="{00000000-0005-0000-0000-000041000000}"/>
    <cellStyle name="Heading 4" xfId="67" xr:uid="{00000000-0005-0000-0000-000042000000}"/>
    <cellStyle name="Input" xfId="68" xr:uid="{00000000-0005-0000-0000-000043000000}"/>
    <cellStyle name="Input [yellow]" xfId="69" xr:uid="{00000000-0005-0000-0000-000044000000}"/>
    <cellStyle name="Link Currency (0)" xfId="70" xr:uid="{00000000-0005-0000-0000-000045000000}"/>
    <cellStyle name="Link Currency (2)" xfId="71" xr:uid="{00000000-0005-0000-0000-000046000000}"/>
    <cellStyle name="Link Units (0)" xfId="72" xr:uid="{00000000-0005-0000-0000-000047000000}"/>
    <cellStyle name="Link Units (1)" xfId="73" xr:uid="{00000000-0005-0000-0000-000048000000}"/>
    <cellStyle name="Link Units (2)" xfId="74" xr:uid="{00000000-0005-0000-0000-000049000000}"/>
    <cellStyle name="Linked Cell" xfId="75" xr:uid="{00000000-0005-0000-0000-00004A000000}"/>
    <cellStyle name="Neutral" xfId="76" xr:uid="{00000000-0005-0000-0000-00004B000000}"/>
    <cellStyle name="Normal" xfId="0" builtinId="0"/>
    <cellStyle name="Normal - Style1" xfId="77" xr:uid="{00000000-0005-0000-0000-00004D000000}"/>
    <cellStyle name="Normal_boq-สุขาภิบาล-นิด้า" xfId="78" xr:uid="{00000000-0005-0000-0000-00004E000000}"/>
    <cellStyle name="Normal_Sheet3" xfId="79" xr:uid="{00000000-0005-0000-0000-00004F000000}"/>
    <cellStyle name="Normal_ตารางมาตรฐาน เต็ม" xfId="80" xr:uid="{00000000-0005-0000-0000-000050000000}"/>
    <cellStyle name="Normal_ราคาโครงสร้าง (กรมบัญชีกลาง) 5-9-55" xfId="105" xr:uid="{00000000-0005-0000-0000-000051000000}"/>
    <cellStyle name="Normal_ราคาโครงสร้าง 4-9-55" xfId="104" xr:uid="{00000000-0005-0000-0000-000052000000}"/>
    <cellStyle name="Note" xfId="81" xr:uid="{00000000-0005-0000-0000-000053000000}"/>
    <cellStyle name="Output" xfId="82" xr:uid="{00000000-0005-0000-0000-000054000000}"/>
    <cellStyle name="ParaBirimi [0]_RESULTS" xfId="83" xr:uid="{00000000-0005-0000-0000-000055000000}"/>
    <cellStyle name="ParaBirimi_RESULTS" xfId="84" xr:uid="{00000000-0005-0000-0000-000056000000}"/>
    <cellStyle name="Percent" xfId="109" builtinId="5"/>
    <cellStyle name="Percent [0]" xfId="85" xr:uid="{00000000-0005-0000-0000-000058000000}"/>
    <cellStyle name="Percent [00]" xfId="86" xr:uid="{00000000-0005-0000-0000-000059000000}"/>
    <cellStyle name="Percent [2]" xfId="87" xr:uid="{00000000-0005-0000-0000-00005A000000}"/>
    <cellStyle name="PrePop Currency (0)" xfId="88" xr:uid="{00000000-0005-0000-0000-00005B000000}"/>
    <cellStyle name="PrePop Currency (2)" xfId="89" xr:uid="{00000000-0005-0000-0000-00005C000000}"/>
    <cellStyle name="PrePop Units (0)" xfId="90" xr:uid="{00000000-0005-0000-0000-00005D000000}"/>
    <cellStyle name="PrePop Units (1)" xfId="91" xr:uid="{00000000-0005-0000-0000-00005E000000}"/>
    <cellStyle name="PrePop Units (2)" xfId="92" xr:uid="{00000000-0005-0000-0000-00005F000000}"/>
    <cellStyle name="Text Indent A" xfId="93" xr:uid="{00000000-0005-0000-0000-000060000000}"/>
    <cellStyle name="Text Indent B" xfId="94" xr:uid="{00000000-0005-0000-0000-000061000000}"/>
    <cellStyle name="Text Indent C" xfId="95" xr:uid="{00000000-0005-0000-0000-000062000000}"/>
    <cellStyle name="Title" xfId="96" xr:uid="{00000000-0005-0000-0000-000063000000}"/>
    <cellStyle name="Total" xfId="97" xr:uid="{00000000-0005-0000-0000-000064000000}"/>
    <cellStyle name="Virg? [0]_RESULTS" xfId="98" xr:uid="{00000000-0005-0000-0000-000065000000}"/>
    <cellStyle name="Virg?_RESULTS" xfId="99" xr:uid="{00000000-0005-0000-0000-000066000000}"/>
    <cellStyle name="Warning Text" xfId="100" xr:uid="{00000000-0005-0000-0000-000067000000}"/>
    <cellStyle name="เครื่องหมายจุลภาค 2 2" xfId="106" xr:uid="{00000000-0005-0000-0000-000068000000}"/>
    <cellStyle name="ปกติ 2" xfId="108" xr:uid="{00000000-0005-0000-0000-000069000000}"/>
    <cellStyle name="ปกติ 3" xfId="107" xr:uid="{00000000-0005-0000-0000-00006A000000}"/>
    <cellStyle name="ปกติ_boq-สุขาภิบาล-นิด้า" xfId="102" xr:uid="{00000000-0005-0000-0000-00006B000000}"/>
    <cellStyle name="ปกติ_สรุป ราคา ตกแต่งภานใน สนามบินนำ" xfId="103" xr:uid="{00000000-0005-0000-0000-00006C000000}"/>
    <cellStyle name="ลักษณะ 1" xfId="1" xr:uid="{00000000-0005-0000-0000-00006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9457" name="Group 1">
          <a:extLst>
            <a:ext uri="{FF2B5EF4-FFF2-40B4-BE49-F238E27FC236}">
              <a16:creationId xmlns:a16="http://schemas.microsoft.com/office/drawing/2014/main" id="{00000000-0008-0000-0100-0000014C0000}"/>
            </a:ext>
          </a:extLst>
        </xdr:cNvPr>
        <xdr:cNvGrpSpPr>
          <a:grpSpLocks/>
        </xdr:cNvGrpSpPr>
      </xdr:nvGrpSpPr>
      <xdr:grpSpPr bwMode="auto">
        <a:xfrm>
          <a:off x="866775" y="1104900"/>
          <a:ext cx="2762250" cy="0"/>
          <a:chOff x="370" y="1725"/>
          <a:chExt cx="611" cy="37"/>
        </a:xfrm>
      </xdr:grpSpPr>
      <xdr:sp macro="" textlink="">
        <xdr:nvSpPr>
          <xdr:cNvPr id="19458" name="Text Box 2">
            <a:extLst>
              <a:ext uri="{FF2B5EF4-FFF2-40B4-BE49-F238E27FC236}">
                <a16:creationId xmlns:a16="http://schemas.microsoft.com/office/drawing/2014/main" id="{00000000-0008-0000-0100-0000024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9459" name="Text Box 3">
            <a:extLst>
              <a:ext uri="{FF2B5EF4-FFF2-40B4-BE49-F238E27FC236}">
                <a16:creationId xmlns:a16="http://schemas.microsoft.com/office/drawing/2014/main" id="{00000000-0008-0000-0100-0000034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9460" name="Group 4">
            <a:extLst>
              <a:ext uri="{FF2B5EF4-FFF2-40B4-BE49-F238E27FC236}">
                <a16:creationId xmlns:a16="http://schemas.microsoft.com/office/drawing/2014/main" id="{00000000-0008-0000-0100-0000044C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9461" name="Text Box 5">
              <a:extLst>
                <a:ext uri="{FF2B5EF4-FFF2-40B4-BE49-F238E27FC236}">
                  <a16:creationId xmlns:a16="http://schemas.microsoft.com/office/drawing/2014/main" id="{00000000-0008-0000-0100-0000054C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9462" name="Text Box 6">
              <a:extLst>
                <a:ext uri="{FF2B5EF4-FFF2-40B4-BE49-F238E27FC236}">
                  <a16:creationId xmlns:a16="http://schemas.microsoft.com/office/drawing/2014/main" id="{00000000-0008-0000-0100-0000064C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104775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9463" name="Group 7">
          <a:extLst>
            <a:ext uri="{FF2B5EF4-FFF2-40B4-BE49-F238E27FC236}">
              <a16:creationId xmlns:a16="http://schemas.microsoft.com/office/drawing/2014/main" id="{00000000-0008-0000-0100-0000074C0000}"/>
            </a:ext>
          </a:extLst>
        </xdr:cNvPr>
        <xdr:cNvGrpSpPr>
          <a:grpSpLocks/>
        </xdr:cNvGrpSpPr>
      </xdr:nvGrpSpPr>
      <xdr:grpSpPr bwMode="auto">
        <a:xfrm>
          <a:off x="866775" y="1104900"/>
          <a:ext cx="2762250" cy="0"/>
          <a:chOff x="370" y="1725"/>
          <a:chExt cx="611" cy="37"/>
        </a:xfrm>
      </xdr:grpSpPr>
      <xdr:sp macro="" textlink="">
        <xdr:nvSpPr>
          <xdr:cNvPr id="19464" name="Text Box 8">
            <a:extLst>
              <a:ext uri="{FF2B5EF4-FFF2-40B4-BE49-F238E27FC236}">
                <a16:creationId xmlns:a16="http://schemas.microsoft.com/office/drawing/2014/main" id="{00000000-0008-0000-0100-0000084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9465" name="Text Box 9">
            <a:extLst>
              <a:ext uri="{FF2B5EF4-FFF2-40B4-BE49-F238E27FC236}">
                <a16:creationId xmlns:a16="http://schemas.microsoft.com/office/drawing/2014/main" id="{00000000-0008-0000-0100-0000094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9466" name="Group 10">
            <a:extLst>
              <a:ext uri="{FF2B5EF4-FFF2-40B4-BE49-F238E27FC236}">
                <a16:creationId xmlns:a16="http://schemas.microsoft.com/office/drawing/2014/main" id="{00000000-0008-0000-0100-00000A4C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9467" name="Text Box 11">
              <a:extLst>
                <a:ext uri="{FF2B5EF4-FFF2-40B4-BE49-F238E27FC236}">
                  <a16:creationId xmlns:a16="http://schemas.microsoft.com/office/drawing/2014/main" id="{00000000-0008-0000-0100-00000B4C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9468" name="Text Box 12">
              <a:extLst>
                <a:ext uri="{FF2B5EF4-FFF2-40B4-BE49-F238E27FC236}">
                  <a16:creationId xmlns:a16="http://schemas.microsoft.com/office/drawing/2014/main" id="{00000000-0008-0000-0100-00000C4C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104775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9469" name="Group 13">
          <a:extLst>
            <a:ext uri="{FF2B5EF4-FFF2-40B4-BE49-F238E27FC236}">
              <a16:creationId xmlns:a16="http://schemas.microsoft.com/office/drawing/2014/main" id="{00000000-0008-0000-0100-00000D4C0000}"/>
            </a:ext>
          </a:extLst>
        </xdr:cNvPr>
        <xdr:cNvGrpSpPr>
          <a:grpSpLocks/>
        </xdr:cNvGrpSpPr>
      </xdr:nvGrpSpPr>
      <xdr:grpSpPr bwMode="auto">
        <a:xfrm>
          <a:off x="866775" y="1104900"/>
          <a:ext cx="2762250" cy="0"/>
          <a:chOff x="370" y="1725"/>
          <a:chExt cx="611" cy="37"/>
        </a:xfrm>
      </xdr:grpSpPr>
      <xdr:sp macro="" textlink="">
        <xdr:nvSpPr>
          <xdr:cNvPr id="19470" name="Text Box 14">
            <a:extLst>
              <a:ext uri="{FF2B5EF4-FFF2-40B4-BE49-F238E27FC236}">
                <a16:creationId xmlns:a16="http://schemas.microsoft.com/office/drawing/2014/main" id="{00000000-0008-0000-0100-00000E4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9471" name="Text Box 15">
            <a:extLst>
              <a:ext uri="{FF2B5EF4-FFF2-40B4-BE49-F238E27FC236}">
                <a16:creationId xmlns:a16="http://schemas.microsoft.com/office/drawing/2014/main" id="{00000000-0008-0000-0100-00000F4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9472" name="Group 16">
            <a:extLst>
              <a:ext uri="{FF2B5EF4-FFF2-40B4-BE49-F238E27FC236}">
                <a16:creationId xmlns:a16="http://schemas.microsoft.com/office/drawing/2014/main" id="{00000000-0008-0000-0100-0000104C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9473" name="Text Box 17">
              <a:extLst>
                <a:ext uri="{FF2B5EF4-FFF2-40B4-BE49-F238E27FC236}">
                  <a16:creationId xmlns:a16="http://schemas.microsoft.com/office/drawing/2014/main" id="{00000000-0008-0000-0100-0000114C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9474" name="Text Box 18">
              <a:extLst>
                <a:ext uri="{FF2B5EF4-FFF2-40B4-BE49-F238E27FC236}">
                  <a16:creationId xmlns:a16="http://schemas.microsoft.com/office/drawing/2014/main" id="{00000000-0008-0000-0100-0000124C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104775</xdr:colOff>
      <xdr:row>3</xdr:row>
      <xdr:rowOff>0</xdr:rowOff>
    </xdr:from>
    <xdr:to>
      <xdr:col>14</xdr:col>
      <xdr:colOff>1019175</xdr:colOff>
      <xdr:row>3</xdr:row>
      <xdr:rowOff>0</xdr:rowOff>
    </xdr:to>
    <xdr:grpSp>
      <xdr:nvGrpSpPr>
        <xdr:cNvPr id="19517" name="Group 61">
          <a:extLst>
            <a:ext uri="{FF2B5EF4-FFF2-40B4-BE49-F238E27FC236}">
              <a16:creationId xmlns:a16="http://schemas.microsoft.com/office/drawing/2014/main" id="{00000000-0008-0000-0100-00003D4C0000}"/>
            </a:ext>
          </a:extLst>
        </xdr:cNvPr>
        <xdr:cNvGrpSpPr>
          <a:grpSpLocks/>
        </xdr:cNvGrpSpPr>
      </xdr:nvGrpSpPr>
      <xdr:grpSpPr bwMode="auto">
        <a:xfrm>
          <a:off x="866775" y="828675"/>
          <a:ext cx="4343400" cy="0"/>
          <a:chOff x="370" y="1725"/>
          <a:chExt cx="611" cy="37"/>
        </a:xfrm>
      </xdr:grpSpPr>
      <xdr:sp macro="" textlink="">
        <xdr:nvSpPr>
          <xdr:cNvPr id="19518" name="Text Box 62">
            <a:extLst>
              <a:ext uri="{FF2B5EF4-FFF2-40B4-BE49-F238E27FC236}">
                <a16:creationId xmlns:a16="http://schemas.microsoft.com/office/drawing/2014/main" id="{00000000-0008-0000-0100-00003E4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9519" name="Text Box 63">
            <a:extLst>
              <a:ext uri="{FF2B5EF4-FFF2-40B4-BE49-F238E27FC236}">
                <a16:creationId xmlns:a16="http://schemas.microsoft.com/office/drawing/2014/main" id="{00000000-0008-0000-0100-00003F4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9520" name="Group 64">
            <a:extLst>
              <a:ext uri="{FF2B5EF4-FFF2-40B4-BE49-F238E27FC236}">
                <a16:creationId xmlns:a16="http://schemas.microsoft.com/office/drawing/2014/main" id="{00000000-0008-0000-0100-0000404C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9521" name="Text Box 65">
              <a:extLst>
                <a:ext uri="{FF2B5EF4-FFF2-40B4-BE49-F238E27FC236}">
                  <a16:creationId xmlns:a16="http://schemas.microsoft.com/office/drawing/2014/main" id="{00000000-0008-0000-0100-0000414C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9522" name="Text Box 66">
              <a:extLst>
                <a:ext uri="{FF2B5EF4-FFF2-40B4-BE49-F238E27FC236}">
                  <a16:creationId xmlns:a16="http://schemas.microsoft.com/office/drawing/2014/main" id="{00000000-0008-0000-0100-0000424C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104775</xdr:colOff>
      <xdr:row>3</xdr:row>
      <xdr:rowOff>0</xdr:rowOff>
    </xdr:from>
    <xdr:to>
      <xdr:col>13</xdr:col>
      <xdr:colOff>1019175</xdr:colOff>
      <xdr:row>3</xdr:row>
      <xdr:rowOff>0</xdr:rowOff>
    </xdr:to>
    <xdr:grpSp>
      <xdr:nvGrpSpPr>
        <xdr:cNvPr id="19523" name="Group 67">
          <a:extLst>
            <a:ext uri="{FF2B5EF4-FFF2-40B4-BE49-F238E27FC236}">
              <a16:creationId xmlns:a16="http://schemas.microsoft.com/office/drawing/2014/main" id="{00000000-0008-0000-0100-0000434C0000}"/>
            </a:ext>
          </a:extLst>
        </xdr:cNvPr>
        <xdr:cNvGrpSpPr>
          <a:grpSpLocks/>
        </xdr:cNvGrpSpPr>
      </xdr:nvGrpSpPr>
      <xdr:grpSpPr bwMode="auto">
        <a:xfrm>
          <a:off x="866775" y="828675"/>
          <a:ext cx="4067175" cy="0"/>
          <a:chOff x="370" y="1725"/>
          <a:chExt cx="611" cy="37"/>
        </a:xfrm>
      </xdr:grpSpPr>
      <xdr:sp macro="" textlink="">
        <xdr:nvSpPr>
          <xdr:cNvPr id="19524" name="Text Box 68">
            <a:extLst>
              <a:ext uri="{FF2B5EF4-FFF2-40B4-BE49-F238E27FC236}">
                <a16:creationId xmlns:a16="http://schemas.microsoft.com/office/drawing/2014/main" id="{00000000-0008-0000-0100-0000444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9525" name="Text Box 69">
            <a:extLst>
              <a:ext uri="{FF2B5EF4-FFF2-40B4-BE49-F238E27FC236}">
                <a16:creationId xmlns:a16="http://schemas.microsoft.com/office/drawing/2014/main" id="{00000000-0008-0000-0100-0000454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9526" name="Group 70">
            <a:extLst>
              <a:ext uri="{FF2B5EF4-FFF2-40B4-BE49-F238E27FC236}">
                <a16:creationId xmlns:a16="http://schemas.microsoft.com/office/drawing/2014/main" id="{00000000-0008-0000-0100-0000464C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9527" name="Text Box 71">
              <a:extLst>
                <a:ext uri="{FF2B5EF4-FFF2-40B4-BE49-F238E27FC236}">
                  <a16:creationId xmlns:a16="http://schemas.microsoft.com/office/drawing/2014/main" id="{00000000-0008-0000-0100-0000474C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9528" name="Text Box 72">
              <a:extLst>
                <a:ext uri="{FF2B5EF4-FFF2-40B4-BE49-F238E27FC236}">
                  <a16:creationId xmlns:a16="http://schemas.microsoft.com/office/drawing/2014/main" id="{00000000-0008-0000-0100-0000484C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104775</xdr:colOff>
      <xdr:row>3</xdr:row>
      <xdr:rowOff>0</xdr:rowOff>
    </xdr:from>
    <xdr:to>
      <xdr:col>13</xdr:col>
      <xdr:colOff>1019175</xdr:colOff>
      <xdr:row>3</xdr:row>
      <xdr:rowOff>0</xdr:rowOff>
    </xdr:to>
    <xdr:grpSp>
      <xdr:nvGrpSpPr>
        <xdr:cNvPr id="19529" name="Group 73">
          <a:extLst>
            <a:ext uri="{FF2B5EF4-FFF2-40B4-BE49-F238E27FC236}">
              <a16:creationId xmlns:a16="http://schemas.microsoft.com/office/drawing/2014/main" id="{00000000-0008-0000-0100-0000494C0000}"/>
            </a:ext>
          </a:extLst>
        </xdr:cNvPr>
        <xdr:cNvGrpSpPr>
          <a:grpSpLocks/>
        </xdr:cNvGrpSpPr>
      </xdr:nvGrpSpPr>
      <xdr:grpSpPr bwMode="auto">
        <a:xfrm>
          <a:off x="866775" y="828675"/>
          <a:ext cx="4067175" cy="0"/>
          <a:chOff x="370" y="1725"/>
          <a:chExt cx="611" cy="37"/>
        </a:xfrm>
      </xdr:grpSpPr>
      <xdr:sp macro="" textlink="">
        <xdr:nvSpPr>
          <xdr:cNvPr id="19530" name="Text Box 74">
            <a:extLst>
              <a:ext uri="{FF2B5EF4-FFF2-40B4-BE49-F238E27FC236}">
                <a16:creationId xmlns:a16="http://schemas.microsoft.com/office/drawing/2014/main" id="{00000000-0008-0000-0100-00004A4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9531" name="Text Box 75">
            <a:extLst>
              <a:ext uri="{FF2B5EF4-FFF2-40B4-BE49-F238E27FC236}">
                <a16:creationId xmlns:a16="http://schemas.microsoft.com/office/drawing/2014/main" id="{00000000-0008-0000-0100-00004B4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9532" name="Group 76">
            <a:extLst>
              <a:ext uri="{FF2B5EF4-FFF2-40B4-BE49-F238E27FC236}">
                <a16:creationId xmlns:a16="http://schemas.microsoft.com/office/drawing/2014/main" id="{00000000-0008-0000-0100-00004C4C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9533" name="Text Box 77">
              <a:extLst>
                <a:ext uri="{FF2B5EF4-FFF2-40B4-BE49-F238E27FC236}">
                  <a16:creationId xmlns:a16="http://schemas.microsoft.com/office/drawing/2014/main" id="{00000000-0008-0000-0100-00004D4C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9534" name="Text Box 78">
              <a:extLst>
                <a:ext uri="{FF2B5EF4-FFF2-40B4-BE49-F238E27FC236}">
                  <a16:creationId xmlns:a16="http://schemas.microsoft.com/office/drawing/2014/main" id="{00000000-0008-0000-0100-00004E4C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104775</xdr:colOff>
      <xdr:row>3</xdr:row>
      <xdr:rowOff>0</xdr:rowOff>
    </xdr:from>
    <xdr:to>
      <xdr:col>14</xdr:col>
      <xdr:colOff>1019175</xdr:colOff>
      <xdr:row>3</xdr:row>
      <xdr:rowOff>0</xdr:rowOff>
    </xdr:to>
    <xdr:grpSp>
      <xdr:nvGrpSpPr>
        <xdr:cNvPr id="19535" name="Group 79">
          <a:extLst>
            <a:ext uri="{FF2B5EF4-FFF2-40B4-BE49-F238E27FC236}">
              <a16:creationId xmlns:a16="http://schemas.microsoft.com/office/drawing/2014/main" id="{00000000-0008-0000-0100-00004F4C0000}"/>
            </a:ext>
          </a:extLst>
        </xdr:cNvPr>
        <xdr:cNvGrpSpPr>
          <a:grpSpLocks/>
        </xdr:cNvGrpSpPr>
      </xdr:nvGrpSpPr>
      <xdr:grpSpPr bwMode="auto">
        <a:xfrm>
          <a:off x="866775" y="828675"/>
          <a:ext cx="4343400" cy="0"/>
          <a:chOff x="370" y="1725"/>
          <a:chExt cx="611" cy="37"/>
        </a:xfrm>
      </xdr:grpSpPr>
      <xdr:sp macro="" textlink="">
        <xdr:nvSpPr>
          <xdr:cNvPr id="19536" name="Text Box 80">
            <a:extLst>
              <a:ext uri="{FF2B5EF4-FFF2-40B4-BE49-F238E27FC236}">
                <a16:creationId xmlns:a16="http://schemas.microsoft.com/office/drawing/2014/main" id="{00000000-0008-0000-0100-0000504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9537" name="Text Box 81">
            <a:extLst>
              <a:ext uri="{FF2B5EF4-FFF2-40B4-BE49-F238E27FC236}">
                <a16:creationId xmlns:a16="http://schemas.microsoft.com/office/drawing/2014/main" id="{00000000-0008-0000-0100-0000514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9538" name="Group 82">
            <a:extLst>
              <a:ext uri="{FF2B5EF4-FFF2-40B4-BE49-F238E27FC236}">
                <a16:creationId xmlns:a16="http://schemas.microsoft.com/office/drawing/2014/main" id="{00000000-0008-0000-0100-0000524C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9539" name="Text Box 83">
              <a:extLst>
                <a:ext uri="{FF2B5EF4-FFF2-40B4-BE49-F238E27FC236}">
                  <a16:creationId xmlns:a16="http://schemas.microsoft.com/office/drawing/2014/main" id="{00000000-0008-0000-0100-0000534C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9540" name="Text Box 84">
              <a:extLst>
                <a:ext uri="{FF2B5EF4-FFF2-40B4-BE49-F238E27FC236}">
                  <a16:creationId xmlns:a16="http://schemas.microsoft.com/office/drawing/2014/main" id="{00000000-0008-0000-0100-0000544C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104775</xdr:colOff>
      <xdr:row>3</xdr:row>
      <xdr:rowOff>0</xdr:rowOff>
    </xdr:from>
    <xdr:to>
      <xdr:col>13</xdr:col>
      <xdr:colOff>1019175</xdr:colOff>
      <xdr:row>3</xdr:row>
      <xdr:rowOff>0</xdr:rowOff>
    </xdr:to>
    <xdr:grpSp>
      <xdr:nvGrpSpPr>
        <xdr:cNvPr id="19541" name="Group 85">
          <a:extLst>
            <a:ext uri="{FF2B5EF4-FFF2-40B4-BE49-F238E27FC236}">
              <a16:creationId xmlns:a16="http://schemas.microsoft.com/office/drawing/2014/main" id="{00000000-0008-0000-0100-0000554C0000}"/>
            </a:ext>
          </a:extLst>
        </xdr:cNvPr>
        <xdr:cNvGrpSpPr>
          <a:grpSpLocks/>
        </xdr:cNvGrpSpPr>
      </xdr:nvGrpSpPr>
      <xdr:grpSpPr bwMode="auto">
        <a:xfrm>
          <a:off x="866775" y="828675"/>
          <a:ext cx="4067175" cy="0"/>
          <a:chOff x="370" y="1725"/>
          <a:chExt cx="611" cy="37"/>
        </a:xfrm>
      </xdr:grpSpPr>
      <xdr:sp macro="" textlink="">
        <xdr:nvSpPr>
          <xdr:cNvPr id="19542" name="Text Box 86">
            <a:extLst>
              <a:ext uri="{FF2B5EF4-FFF2-40B4-BE49-F238E27FC236}">
                <a16:creationId xmlns:a16="http://schemas.microsoft.com/office/drawing/2014/main" id="{00000000-0008-0000-0100-0000564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9543" name="Text Box 87">
            <a:extLst>
              <a:ext uri="{FF2B5EF4-FFF2-40B4-BE49-F238E27FC236}">
                <a16:creationId xmlns:a16="http://schemas.microsoft.com/office/drawing/2014/main" id="{00000000-0008-0000-0100-0000574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9544" name="Group 88">
            <a:extLst>
              <a:ext uri="{FF2B5EF4-FFF2-40B4-BE49-F238E27FC236}">
                <a16:creationId xmlns:a16="http://schemas.microsoft.com/office/drawing/2014/main" id="{00000000-0008-0000-0100-0000584C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9545" name="Text Box 89">
              <a:extLst>
                <a:ext uri="{FF2B5EF4-FFF2-40B4-BE49-F238E27FC236}">
                  <a16:creationId xmlns:a16="http://schemas.microsoft.com/office/drawing/2014/main" id="{00000000-0008-0000-0100-0000594C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9546" name="Text Box 90">
              <a:extLst>
                <a:ext uri="{FF2B5EF4-FFF2-40B4-BE49-F238E27FC236}">
                  <a16:creationId xmlns:a16="http://schemas.microsoft.com/office/drawing/2014/main" id="{00000000-0008-0000-0100-00005A4C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104775</xdr:colOff>
      <xdr:row>3</xdr:row>
      <xdr:rowOff>0</xdr:rowOff>
    </xdr:from>
    <xdr:to>
      <xdr:col>13</xdr:col>
      <xdr:colOff>1019175</xdr:colOff>
      <xdr:row>3</xdr:row>
      <xdr:rowOff>0</xdr:rowOff>
    </xdr:to>
    <xdr:grpSp>
      <xdr:nvGrpSpPr>
        <xdr:cNvPr id="19547" name="Group 91">
          <a:extLst>
            <a:ext uri="{FF2B5EF4-FFF2-40B4-BE49-F238E27FC236}">
              <a16:creationId xmlns:a16="http://schemas.microsoft.com/office/drawing/2014/main" id="{00000000-0008-0000-0100-00005B4C0000}"/>
            </a:ext>
          </a:extLst>
        </xdr:cNvPr>
        <xdr:cNvGrpSpPr>
          <a:grpSpLocks/>
        </xdr:cNvGrpSpPr>
      </xdr:nvGrpSpPr>
      <xdr:grpSpPr bwMode="auto">
        <a:xfrm>
          <a:off x="866775" y="828675"/>
          <a:ext cx="4067175" cy="0"/>
          <a:chOff x="370" y="1725"/>
          <a:chExt cx="611" cy="37"/>
        </a:xfrm>
      </xdr:grpSpPr>
      <xdr:sp macro="" textlink="">
        <xdr:nvSpPr>
          <xdr:cNvPr id="19548" name="Text Box 92">
            <a:extLst>
              <a:ext uri="{FF2B5EF4-FFF2-40B4-BE49-F238E27FC236}">
                <a16:creationId xmlns:a16="http://schemas.microsoft.com/office/drawing/2014/main" id="{00000000-0008-0000-0100-00005C4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9549" name="Text Box 93">
            <a:extLst>
              <a:ext uri="{FF2B5EF4-FFF2-40B4-BE49-F238E27FC236}">
                <a16:creationId xmlns:a16="http://schemas.microsoft.com/office/drawing/2014/main" id="{00000000-0008-0000-0100-00005D4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9550" name="Group 94">
            <a:extLst>
              <a:ext uri="{FF2B5EF4-FFF2-40B4-BE49-F238E27FC236}">
                <a16:creationId xmlns:a16="http://schemas.microsoft.com/office/drawing/2014/main" id="{00000000-0008-0000-0100-00005E4C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9551" name="Text Box 95">
              <a:extLst>
                <a:ext uri="{FF2B5EF4-FFF2-40B4-BE49-F238E27FC236}">
                  <a16:creationId xmlns:a16="http://schemas.microsoft.com/office/drawing/2014/main" id="{00000000-0008-0000-0100-00005F4C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9552" name="Text Box 96">
              <a:extLst>
                <a:ext uri="{FF2B5EF4-FFF2-40B4-BE49-F238E27FC236}">
                  <a16:creationId xmlns:a16="http://schemas.microsoft.com/office/drawing/2014/main" id="{00000000-0008-0000-0100-0000604C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0</xdr:rowOff>
    </xdr:from>
    <xdr:to>
      <xdr:col>11</xdr:col>
      <xdr:colOff>0</xdr:colOff>
      <xdr:row>7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4295775" y="2019300"/>
          <a:ext cx="6848475" cy="0"/>
          <a:chOff x="370" y="1725"/>
          <a:chExt cx="611" cy="37"/>
        </a:xfrm>
      </xdr:grpSpPr>
      <xdr:sp macro="" textlink="">
        <xdr:nvSpPr>
          <xdr:cNvPr id="3" name="Text Box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4" name="Text Box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6" name="Text Box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" name="Text Box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7</xdr:row>
      <xdr:rowOff>0</xdr:rowOff>
    </xdr:from>
    <xdr:to>
      <xdr:col>11</xdr:col>
      <xdr:colOff>0</xdr:colOff>
      <xdr:row>7</xdr:row>
      <xdr:rowOff>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>
          <a:grpSpLocks/>
        </xdr:cNvGrpSpPr>
      </xdr:nvGrpSpPr>
      <xdr:grpSpPr bwMode="auto">
        <a:xfrm>
          <a:off x="4295775" y="2019300"/>
          <a:ext cx="6848475" cy="0"/>
          <a:chOff x="370" y="1725"/>
          <a:chExt cx="611" cy="37"/>
        </a:xfrm>
      </xdr:grpSpPr>
      <xdr:sp macro="" textlink="">
        <xdr:nvSpPr>
          <xdr:cNvPr id="9" name="Text Box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" name="Text Box 11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" name="Text Box 12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7</xdr:row>
      <xdr:rowOff>0</xdr:rowOff>
    </xdr:from>
    <xdr:to>
      <xdr:col>11</xdr:col>
      <xdr:colOff>0</xdr:colOff>
      <xdr:row>7</xdr:row>
      <xdr:rowOff>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pSpPr>
          <a:grpSpLocks/>
        </xdr:cNvGrpSpPr>
      </xdr:nvGrpSpPr>
      <xdr:grpSpPr bwMode="auto">
        <a:xfrm>
          <a:off x="4295775" y="2019300"/>
          <a:ext cx="6848475" cy="0"/>
          <a:chOff x="370" y="1725"/>
          <a:chExt cx="611" cy="37"/>
        </a:xfrm>
      </xdr:grpSpPr>
      <xdr:sp macro="" textlink="">
        <xdr:nvSpPr>
          <xdr:cNvPr id="15" name="Text 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6" name="Text 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8" name="Text Box 17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9" name="Text Box 18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4337" name="Group 1">
          <a:extLst>
            <a:ext uri="{FF2B5EF4-FFF2-40B4-BE49-F238E27FC236}">
              <a16:creationId xmlns:a16="http://schemas.microsoft.com/office/drawing/2014/main" id="{00000000-0008-0000-0300-000001380000}"/>
            </a:ext>
          </a:extLst>
        </xdr:cNvPr>
        <xdr:cNvGrpSpPr>
          <a:grpSpLocks/>
        </xdr:cNvGrpSpPr>
      </xdr:nvGrpSpPr>
      <xdr:grpSpPr bwMode="auto">
        <a:xfrm>
          <a:off x="4133850" y="1114425"/>
          <a:ext cx="6734175" cy="0"/>
          <a:chOff x="370" y="1725"/>
          <a:chExt cx="611" cy="37"/>
        </a:xfrm>
      </xdr:grpSpPr>
      <xdr:sp macro="" textlink="">
        <xdr:nvSpPr>
          <xdr:cNvPr id="14338" name="Text Box 2">
            <a:extLst>
              <a:ext uri="{FF2B5EF4-FFF2-40B4-BE49-F238E27FC236}">
                <a16:creationId xmlns:a16="http://schemas.microsoft.com/office/drawing/2014/main" id="{00000000-0008-0000-0300-0000023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4339" name="Text Box 3">
            <a:extLst>
              <a:ext uri="{FF2B5EF4-FFF2-40B4-BE49-F238E27FC236}">
                <a16:creationId xmlns:a16="http://schemas.microsoft.com/office/drawing/2014/main" id="{00000000-0008-0000-0300-0000033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4340" name="Group 4">
            <a:extLst>
              <a:ext uri="{FF2B5EF4-FFF2-40B4-BE49-F238E27FC236}">
                <a16:creationId xmlns:a16="http://schemas.microsoft.com/office/drawing/2014/main" id="{00000000-0008-0000-0300-00000438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4341" name="Text Box 5">
              <a:extLst>
                <a:ext uri="{FF2B5EF4-FFF2-40B4-BE49-F238E27FC236}">
                  <a16:creationId xmlns:a16="http://schemas.microsoft.com/office/drawing/2014/main" id="{00000000-0008-0000-0300-00000538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4342" name="Text Box 6">
              <a:extLst>
                <a:ext uri="{FF2B5EF4-FFF2-40B4-BE49-F238E27FC236}">
                  <a16:creationId xmlns:a16="http://schemas.microsoft.com/office/drawing/2014/main" id="{00000000-0008-0000-0300-00000638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104775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4343" name="Group 7">
          <a:extLst>
            <a:ext uri="{FF2B5EF4-FFF2-40B4-BE49-F238E27FC236}">
              <a16:creationId xmlns:a16="http://schemas.microsoft.com/office/drawing/2014/main" id="{00000000-0008-0000-0300-000007380000}"/>
            </a:ext>
          </a:extLst>
        </xdr:cNvPr>
        <xdr:cNvGrpSpPr>
          <a:grpSpLocks/>
        </xdr:cNvGrpSpPr>
      </xdr:nvGrpSpPr>
      <xdr:grpSpPr bwMode="auto">
        <a:xfrm>
          <a:off x="4133850" y="1114425"/>
          <a:ext cx="6734175" cy="0"/>
          <a:chOff x="370" y="1725"/>
          <a:chExt cx="611" cy="37"/>
        </a:xfrm>
      </xdr:grpSpPr>
      <xdr:sp macro="" textlink="">
        <xdr:nvSpPr>
          <xdr:cNvPr id="14344" name="Text Box 8">
            <a:extLst>
              <a:ext uri="{FF2B5EF4-FFF2-40B4-BE49-F238E27FC236}">
                <a16:creationId xmlns:a16="http://schemas.microsoft.com/office/drawing/2014/main" id="{00000000-0008-0000-0300-0000083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4345" name="Text Box 9">
            <a:extLst>
              <a:ext uri="{FF2B5EF4-FFF2-40B4-BE49-F238E27FC236}">
                <a16:creationId xmlns:a16="http://schemas.microsoft.com/office/drawing/2014/main" id="{00000000-0008-0000-0300-0000093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4346" name="Group 10">
            <a:extLst>
              <a:ext uri="{FF2B5EF4-FFF2-40B4-BE49-F238E27FC236}">
                <a16:creationId xmlns:a16="http://schemas.microsoft.com/office/drawing/2014/main" id="{00000000-0008-0000-0300-00000A38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4347" name="Text Box 11">
              <a:extLst>
                <a:ext uri="{FF2B5EF4-FFF2-40B4-BE49-F238E27FC236}">
                  <a16:creationId xmlns:a16="http://schemas.microsoft.com/office/drawing/2014/main" id="{00000000-0008-0000-0300-00000B38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4348" name="Text Box 12">
              <a:extLst>
                <a:ext uri="{FF2B5EF4-FFF2-40B4-BE49-F238E27FC236}">
                  <a16:creationId xmlns:a16="http://schemas.microsoft.com/office/drawing/2014/main" id="{00000000-0008-0000-0300-00000C38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104775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4349" name="Group 13">
          <a:extLst>
            <a:ext uri="{FF2B5EF4-FFF2-40B4-BE49-F238E27FC236}">
              <a16:creationId xmlns:a16="http://schemas.microsoft.com/office/drawing/2014/main" id="{00000000-0008-0000-0300-00000D380000}"/>
            </a:ext>
          </a:extLst>
        </xdr:cNvPr>
        <xdr:cNvGrpSpPr>
          <a:grpSpLocks/>
        </xdr:cNvGrpSpPr>
      </xdr:nvGrpSpPr>
      <xdr:grpSpPr bwMode="auto">
        <a:xfrm>
          <a:off x="4133850" y="1114425"/>
          <a:ext cx="6734175" cy="0"/>
          <a:chOff x="370" y="1725"/>
          <a:chExt cx="611" cy="37"/>
        </a:xfrm>
      </xdr:grpSpPr>
      <xdr:sp macro="" textlink="">
        <xdr:nvSpPr>
          <xdr:cNvPr id="14350" name="Text Box 14">
            <a:extLst>
              <a:ext uri="{FF2B5EF4-FFF2-40B4-BE49-F238E27FC236}">
                <a16:creationId xmlns:a16="http://schemas.microsoft.com/office/drawing/2014/main" id="{00000000-0008-0000-0300-00000E3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4351" name="Text Box 15">
            <a:extLst>
              <a:ext uri="{FF2B5EF4-FFF2-40B4-BE49-F238E27FC236}">
                <a16:creationId xmlns:a16="http://schemas.microsoft.com/office/drawing/2014/main" id="{00000000-0008-0000-0300-00000F3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4352" name="Group 16">
            <a:extLst>
              <a:ext uri="{FF2B5EF4-FFF2-40B4-BE49-F238E27FC236}">
                <a16:creationId xmlns:a16="http://schemas.microsoft.com/office/drawing/2014/main" id="{00000000-0008-0000-0300-00001038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4353" name="Text Box 17">
              <a:extLst>
                <a:ext uri="{FF2B5EF4-FFF2-40B4-BE49-F238E27FC236}">
                  <a16:creationId xmlns:a16="http://schemas.microsoft.com/office/drawing/2014/main" id="{00000000-0008-0000-0300-00001138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4354" name="Text Box 18">
              <a:extLst>
                <a:ext uri="{FF2B5EF4-FFF2-40B4-BE49-F238E27FC236}">
                  <a16:creationId xmlns:a16="http://schemas.microsoft.com/office/drawing/2014/main" id="{00000000-0008-0000-0300-00001238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44" name="Group 61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GrpSpPr>
          <a:grpSpLocks/>
        </xdr:cNvGrpSpPr>
      </xdr:nvGrpSpPr>
      <xdr:grpSpPr bwMode="auto">
        <a:xfrm>
          <a:off x="4133850" y="857250"/>
          <a:ext cx="6734175" cy="0"/>
          <a:chOff x="370" y="1725"/>
          <a:chExt cx="611" cy="37"/>
        </a:xfrm>
      </xdr:grpSpPr>
      <xdr:sp macro="" textlink="">
        <xdr:nvSpPr>
          <xdr:cNvPr id="45" name="Text Box 62">
            <a:extLst>
              <a:ext uri="{FF2B5EF4-FFF2-40B4-BE49-F238E27FC236}">
                <a16:creationId xmlns:a16="http://schemas.microsoft.com/office/drawing/2014/main" id="{00000000-0008-0000-0300-00002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46" name="Text Box 63">
            <a:extLst>
              <a:ext uri="{FF2B5EF4-FFF2-40B4-BE49-F238E27FC236}">
                <a16:creationId xmlns:a16="http://schemas.microsoft.com/office/drawing/2014/main" id="{00000000-0008-0000-0300-00002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47" name="Group 64">
            <a:extLst>
              <a:ext uri="{FF2B5EF4-FFF2-40B4-BE49-F238E27FC236}">
                <a16:creationId xmlns:a16="http://schemas.microsoft.com/office/drawing/2014/main" id="{00000000-0008-0000-0300-00002F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48" name="Text Box 65">
              <a:extLst>
                <a:ext uri="{FF2B5EF4-FFF2-40B4-BE49-F238E27FC236}">
                  <a16:creationId xmlns:a16="http://schemas.microsoft.com/office/drawing/2014/main" id="{00000000-0008-0000-0300-00003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49" name="Text Box 66">
              <a:extLst>
                <a:ext uri="{FF2B5EF4-FFF2-40B4-BE49-F238E27FC236}">
                  <a16:creationId xmlns:a16="http://schemas.microsoft.com/office/drawing/2014/main" id="{00000000-0008-0000-0300-00003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50" name="Group 67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GrpSpPr>
          <a:grpSpLocks/>
        </xdr:cNvGrpSpPr>
      </xdr:nvGrpSpPr>
      <xdr:grpSpPr bwMode="auto">
        <a:xfrm>
          <a:off x="4133850" y="857250"/>
          <a:ext cx="6734175" cy="0"/>
          <a:chOff x="370" y="1725"/>
          <a:chExt cx="611" cy="37"/>
        </a:xfrm>
      </xdr:grpSpPr>
      <xdr:sp macro="" textlink="">
        <xdr:nvSpPr>
          <xdr:cNvPr id="51" name="Text Box 68">
            <a:extLst>
              <a:ext uri="{FF2B5EF4-FFF2-40B4-BE49-F238E27FC236}">
                <a16:creationId xmlns:a16="http://schemas.microsoft.com/office/drawing/2014/main" id="{00000000-0008-0000-0300-00003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52" name="Text Box 69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53" name="Group 70">
            <a:extLst>
              <a:ext uri="{FF2B5EF4-FFF2-40B4-BE49-F238E27FC236}">
                <a16:creationId xmlns:a16="http://schemas.microsoft.com/office/drawing/2014/main" id="{00000000-0008-0000-0300-000035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54" name="Text Box 71">
              <a:extLst>
                <a:ext uri="{FF2B5EF4-FFF2-40B4-BE49-F238E27FC236}">
                  <a16:creationId xmlns:a16="http://schemas.microsoft.com/office/drawing/2014/main" id="{00000000-0008-0000-0300-00003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55" name="Text Box 72">
              <a:extLst>
                <a:ext uri="{FF2B5EF4-FFF2-40B4-BE49-F238E27FC236}">
                  <a16:creationId xmlns:a16="http://schemas.microsoft.com/office/drawing/2014/main" id="{00000000-0008-0000-0300-00003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56" name="Group 73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GrpSpPr>
          <a:grpSpLocks/>
        </xdr:cNvGrpSpPr>
      </xdr:nvGrpSpPr>
      <xdr:grpSpPr bwMode="auto">
        <a:xfrm>
          <a:off x="4133850" y="857250"/>
          <a:ext cx="6734175" cy="0"/>
          <a:chOff x="370" y="1725"/>
          <a:chExt cx="611" cy="37"/>
        </a:xfrm>
      </xdr:grpSpPr>
      <xdr:sp macro="" textlink="">
        <xdr:nvSpPr>
          <xdr:cNvPr id="57" name="Text Box 74">
            <a:extLst>
              <a:ext uri="{FF2B5EF4-FFF2-40B4-BE49-F238E27FC236}">
                <a16:creationId xmlns:a16="http://schemas.microsoft.com/office/drawing/2014/main" id="{00000000-0008-0000-0300-00003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58" name="Text Box 75">
            <a:extLst>
              <a:ext uri="{FF2B5EF4-FFF2-40B4-BE49-F238E27FC236}">
                <a16:creationId xmlns:a16="http://schemas.microsoft.com/office/drawing/2014/main" id="{00000000-0008-0000-0300-00003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59" name="Group 76">
            <a:extLst>
              <a:ext uri="{FF2B5EF4-FFF2-40B4-BE49-F238E27FC236}">
                <a16:creationId xmlns:a16="http://schemas.microsoft.com/office/drawing/2014/main" id="{00000000-0008-0000-0300-00003B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60" name="Text Box 77">
              <a:extLst>
                <a:ext uri="{FF2B5EF4-FFF2-40B4-BE49-F238E27FC236}">
                  <a16:creationId xmlns:a16="http://schemas.microsoft.com/office/drawing/2014/main" id="{00000000-0008-0000-0300-00003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61" name="Text Box 78">
              <a:extLst>
                <a:ext uri="{FF2B5EF4-FFF2-40B4-BE49-F238E27FC236}">
                  <a16:creationId xmlns:a16="http://schemas.microsoft.com/office/drawing/2014/main" id="{00000000-0008-0000-0300-00003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62" name="Group 79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GrpSpPr>
          <a:grpSpLocks/>
        </xdr:cNvGrpSpPr>
      </xdr:nvGrpSpPr>
      <xdr:grpSpPr bwMode="auto">
        <a:xfrm>
          <a:off x="4133850" y="857250"/>
          <a:ext cx="6734175" cy="0"/>
          <a:chOff x="370" y="1725"/>
          <a:chExt cx="611" cy="37"/>
        </a:xfrm>
      </xdr:grpSpPr>
      <xdr:sp macro="" textlink="">
        <xdr:nvSpPr>
          <xdr:cNvPr id="63" name="Text Box 80">
            <a:extLst>
              <a:ext uri="{FF2B5EF4-FFF2-40B4-BE49-F238E27FC236}">
                <a16:creationId xmlns:a16="http://schemas.microsoft.com/office/drawing/2014/main" id="{00000000-0008-0000-0300-00003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64" name="Text Box 81">
            <a:extLst>
              <a:ext uri="{FF2B5EF4-FFF2-40B4-BE49-F238E27FC236}">
                <a16:creationId xmlns:a16="http://schemas.microsoft.com/office/drawing/2014/main" id="{00000000-0008-0000-0300-00004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65" name="Group 82">
            <a:extLst>
              <a:ext uri="{FF2B5EF4-FFF2-40B4-BE49-F238E27FC236}">
                <a16:creationId xmlns:a16="http://schemas.microsoft.com/office/drawing/2014/main" id="{00000000-0008-0000-0300-000041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66" name="Text Box 83">
              <a:extLst>
                <a:ext uri="{FF2B5EF4-FFF2-40B4-BE49-F238E27FC236}">
                  <a16:creationId xmlns:a16="http://schemas.microsoft.com/office/drawing/2014/main" id="{00000000-0008-0000-0300-00004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67" name="Text Box 84">
              <a:extLst>
                <a:ext uri="{FF2B5EF4-FFF2-40B4-BE49-F238E27FC236}">
                  <a16:creationId xmlns:a16="http://schemas.microsoft.com/office/drawing/2014/main" id="{00000000-0008-0000-0300-00004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68" name="Group 85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GrpSpPr>
          <a:grpSpLocks/>
        </xdr:cNvGrpSpPr>
      </xdr:nvGrpSpPr>
      <xdr:grpSpPr bwMode="auto">
        <a:xfrm>
          <a:off x="4133850" y="857250"/>
          <a:ext cx="6734175" cy="0"/>
          <a:chOff x="370" y="1725"/>
          <a:chExt cx="611" cy="37"/>
        </a:xfrm>
      </xdr:grpSpPr>
      <xdr:sp macro="" textlink="">
        <xdr:nvSpPr>
          <xdr:cNvPr id="69" name="Text Box 86">
            <a:extLst>
              <a:ext uri="{FF2B5EF4-FFF2-40B4-BE49-F238E27FC236}">
                <a16:creationId xmlns:a16="http://schemas.microsoft.com/office/drawing/2014/main" id="{00000000-0008-0000-0300-00004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70" name="Text Box 87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71" name="Group 88">
            <a:extLst>
              <a:ext uri="{FF2B5EF4-FFF2-40B4-BE49-F238E27FC236}">
                <a16:creationId xmlns:a16="http://schemas.microsoft.com/office/drawing/2014/main" id="{00000000-0008-0000-0300-000047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72" name="Text Box 89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3" name="Text Box 90">
              <a:extLst>
                <a:ext uri="{FF2B5EF4-FFF2-40B4-BE49-F238E27FC236}">
                  <a16:creationId xmlns:a16="http://schemas.microsoft.com/office/drawing/2014/main" id="{00000000-0008-0000-0300-00004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74" name="Group 91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GrpSpPr>
          <a:grpSpLocks/>
        </xdr:cNvGrpSpPr>
      </xdr:nvGrpSpPr>
      <xdr:grpSpPr bwMode="auto">
        <a:xfrm>
          <a:off x="4133850" y="857250"/>
          <a:ext cx="6734175" cy="0"/>
          <a:chOff x="370" y="1725"/>
          <a:chExt cx="611" cy="37"/>
        </a:xfrm>
      </xdr:grpSpPr>
      <xdr:sp macro="" textlink="">
        <xdr:nvSpPr>
          <xdr:cNvPr id="75" name="Text Box 92">
            <a:extLst>
              <a:ext uri="{FF2B5EF4-FFF2-40B4-BE49-F238E27FC236}">
                <a16:creationId xmlns:a16="http://schemas.microsoft.com/office/drawing/2014/main" id="{00000000-0008-0000-0300-00004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76" name="Text Box 93">
            <a:extLst>
              <a:ext uri="{FF2B5EF4-FFF2-40B4-BE49-F238E27FC236}">
                <a16:creationId xmlns:a16="http://schemas.microsoft.com/office/drawing/2014/main" id="{00000000-0008-0000-0300-00004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77" name="Group 94">
            <a:extLst>
              <a:ext uri="{FF2B5EF4-FFF2-40B4-BE49-F238E27FC236}">
                <a16:creationId xmlns:a16="http://schemas.microsoft.com/office/drawing/2014/main" id="{00000000-0008-0000-0300-00004D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78" name="Text Box 95">
              <a:extLst>
                <a:ext uri="{FF2B5EF4-FFF2-40B4-BE49-F238E27FC236}">
                  <a16:creationId xmlns:a16="http://schemas.microsoft.com/office/drawing/2014/main" id="{00000000-0008-0000-0300-00004E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9" name="Text Box 96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80" name="Group 61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GrpSpPr>
          <a:grpSpLocks/>
        </xdr:cNvGrpSpPr>
      </xdr:nvGrpSpPr>
      <xdr:grpSpPr bwMode="auto">
        <a:xfrm>
          <a:off x="4133850" y="857250"/>
          <a:ext cx="6734175" cy="0"/>
          <a:chOff x="370" y="1725"/>
          <a:chExt cx="611" cy="37"/>
        </a:xfrm>
      </xdr:grpSpPr>
      <xdr:sp macro="" textlink="">
        <xdr:nvSpPr>
          <xdr:cNvPr id="81" name="Text Box 62">
            <a:extLst>
              <a:ext uri="{FF2B5EF4-FFF2-40B4-BE49-F238E27FC236}">
                <a16:creationId xmlns:a16="http://schemas.microsoft.com/office/drawing/2014/main" id="{00000000-0008-0000-0300-00005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2" name="Text Box 63">
            <a:extLst>
              <a:ext uri="{FF2B5EF4-FFF2-40B4-BE49-F238E27FC236}">
                <a16:creationId xmlns:a16="http://schemas.microsoft.com/office/drawing/2014/main" id="{00000000-0008-0000-0300-00005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3" name="Group 64">
            <a:extLst>
              <a:ext uri="{FF2B5EF4-FFF2-40B4-BE49-F238E27FC236}">
                <a16:creationId xmlns:a16="http://schemas.microsoft.com/office/drawing/2014/main" id="{00000000-0008-0000-0300-000053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84" name="Text Box 65">
              <a:extLst>
                <a:ext uri="{FF2B5EF4-FFF2-40B4-BE49-F238E27FC236}">
                  <a16:creationId xmlns:a16="http://schemas.microsoft.com/office/drawing/2014/main" id="{00000000-0008-0000-0300-00005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85" name="Text Box 66">
              <a:extLst>
                <a:ext uri="{FF2B5EF4-FFF2-40B4-BE49-F238E27FC236}">
                  <a16:creationId xmlns:a16="http://schemas.microsoft.com/office/drawing/2014/main" id="{00000000-0008-0000-0300-00005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86" name="Group 67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GrpSpPr>
          <a:grpSpLocks/>
        </xdr:cNvGrpSpPr>
      </xdr:nvGrpSpPr>
      <xdr:grpSpPr bwMode="auto">
        <a:xfrm>
          <a:off x="4133850" y="857250"/>
          <a:ext cx="6734175" cy="0"/>
          <a:chOff x="370" y="1725"/>
          <a:chExt cx="611" cy="37"/>
        </a:xfrm>
      </xdr:grpSpPr>
      <xdr:sp macro="" textlink="">
        <xdr:nvSpPr>
          <xdr:cNvPr id="87" name="Text Box 68">
            <a:extLst>
              <a:ext uri="{FF2B5EF4-FFF2-40B4-BE49-F238E27FC236}">
                <a16:creationId xmlns:a16="http://schemas.microsoft.com/office/drawing/2014/main" id="{00000000-0008-0000-0300-00005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8" name="Text Box 69">
            <a:extLst>
              <a:ext uri="{FF2B5EF4-FFF2-40B4-BE49-F238E27FC236}">
                <a16:creationId xmlns:a16="http://schemas.microsoft.com/office/drawing/2014/main" id="{00000000-0008-0000-0300-00005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9" name="Group 70">
            <a:extLst>
              <a:ext uri="{FF2B5EF4-FFF2-40B4-BE49-F238E27FC236}">
                <a16:creationId xmlns:a16="http://schemas.microsoft.com/office/drawing/2014/main" id="{00000000-0008-0000-0300-000059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0" name="Text Box 71">
              <a:extLst>
                <a:ext uri="{FF2B5EF4-FFF2-40B4-BE49-F238E27FC236}">
                  <a16:creationId xmlns:a16="http://schemas.microsoft.com/office/drawing/2014/main" id="{00000000-0008-0000-0300-00005A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1" name="Text Box 72">
              <a:extLst>
                <a:ext uri="{FF2B5EF4-FFF2-40B4-BE49-F238E27FC236}">
                  <a16:creationId xmlns:a16="http://schemas.microsoft.com/office/drawing/2014/main" id="{00000000-0008-0000-0300-00005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92" name="Group 73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GrpSpPr>
          <a:grpSpLocks/>
        </xdr:cNvGrpSpPr>
      </xdr:nvGrpSpPr>
      <xdr:grpSpPr bwMode="auto">
        <a:xfrm>
          <a:off x="4133850" y="857250"/>
          <a:ext cx="6734175" cy="0"/>
          <a:chOff x="370" y="1725"/>
          <a:chExt cx="611" cy="37"/>
        </a:xfrm>
      </xdr:grpSpPr>
      <xdr:sp macro="" textlink="">
        <xdr:nvSpPr>
          <xdr:cNvPr id="93" name="Text Box 74">
            <a:extLst>
              <a:ext uri="{FF2B5EF4-FFF2-40B4-BE49-F238E27FC236}">
                <a16:creationId xmlns:a16="http://schemas.microsoft.com/office/drawing/2014/main" id="{00000000-0008-0000-0300-00005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94" name="Text Box 75">
            <a:extLst>
              <a:ext uri="{FF2B5EF4-FFF2-40B4-BE49-F238E27FC236}">
                <a16:creationId xmlns:a16="http://schemas.microsoft.com/office/drawing/2014/main" id="{00000000-0008-0000-0300-00005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95" name="Group 76">
            <a:extLst>
              <a:ext uri="{FF2B5EF4-FFF2-40B4-BE49-F238E27FC236}">
                <a16:creationId xmlns:a16="http://schemas.microsoft.com/office/drawing/2014/main" id="{00000000-0008-0000-0300-00005F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6" name="Text Box 77">
              <a:extLst>
                <a:ext uri="{FF2B5EF4-FFF2-40B4-BE49-F238E27FC236}">
                  <a16:creationId xmlns:a16="http://schemas.microsoft.com/office/drawing/2014/main" id="{00000000-0008-0000-0300-00006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7" name="Text Box 78">
              <a:extLst>
                <a:ext uri="{FF2B5EF4-FFF2-40B4-BE49-F238E27FC236}">
                  <a16:creationId xmlns:a16="http://schemas.microsoft.com/office/drawing/2014/main" id="{00000000-0008-0000-0300-00006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98" name="Group 79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GrpSpPr>
          <a:grpSpLocks/>
        </xdr:cNvGrpSpPr>
      </xdr:nvGrpSpPr>
      <xdr:grpSpPr bwMode="auto">
        <a:xfrm>
          <a:off x="4133850" y="857250"/>
          <a:ext cx="6734175" cy="0"/>
          <a:chOff x="370" y="1725"/>
          <a:chExt cx="611" cy="37"/>
        </a:xfrm>
      </xdr:grpSpPr>
      <xdr:sp macro="" textlink="">
        <xdr:nvSpPr>
          <xdr:cNvPr id="99" name="Text Box 80">
            <a:extLst>
              <a:ext uri="{FF2B5EF4-FFF2-40B4-BE49-F238E27FC236}">
                <a16:creationId xmlns:a16="http://schemas.microsoft.com/office/drawing/2014/main" id="{00000000-0008-0000-0300-00006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0" name="Text Box 81">
            <a:extLst>
              <a:ext uri="{FF2B5EF4-FFF2-40B4-BE49-F238E27FC236}">
                <a16:creationId xmlns:a16="http://schemas.microsoft.com/office/drawing/2014/main" id="{00000000-0008-0000-0300-00006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1" name="Group 82">
            <a:extLst>
              <a:ext uri="{FF2B5EF4-FFF2-40B4-BE49-F238E27FC236}">
                <a16:creationId xmlns:a16="http://schemas.microsoft.com/office/drawing/2014/main" id="{00000000-0008-0000-0300-000065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2" name="Text Box 83">
              <a:extLst>
                <a:ext uri="{FF2B5EF4-FFF2-40B4-BE49-F238E27FC236}">
                  <a16:creationId xmlns:a16="http://schemas.microsoft.com/office/drawing/2014/main" id="{00000000-0008-0000-0300-00006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3" name="Text Box 84">
              <a:extLst>
                <a:ext uri="{FF2B5EF4-FFF2-40B4-BE49-F238E27FC236}">
                  <a16:creationId xmlns:a16="http://schemas.microsoft.com/office/drawing/2014/main" id="{00000000-0008-0000-0300-00006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104" name="Group 85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GrpSpPr>
          <a:grpSpLocks/>
        </xdr:cNvGrpSpPr>
      </xdr:nvGrpSpPr>
      <xdr:grpSpPr bwMode="auto">
        <a:xfrm>
          <a:off x="4133850" y="857250"/>
          <a:ext cx="6734175" cy="0"/>
          <a:chOff x="370" y="1725"/>
          <a:chExt cx="611" cy="37"/>
        </a:xfrm>
      </xdr:grpSpPr>
      <xdr:sp macro="" textlink="">
        <xdr:nvSpPr>
          <xdr:cNvPr id="105" name="Text Box 86">
            <a:extLst>
              <a:ext uri="{FF2B5EF4-FFF2-40B4-BE49-F238E27FC236}">
                <a16:creationId xmlns:a16="http://schemas.microsoft.com/office/drawing/2014/main" id="{00000000-0008-0000-0300-00006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6" name="Text Box 87">
            <a:extLst>
              <a:ext uri="{FF2B5EF4-FFF2-40B4-BE49-F238E27FC236}">
                <a16:creationId xmlns:a16="http://schemas.microsoft.com/office/drawing/2014/main" id="{00000000-0008-0000-0300-00006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7" name="Group 88">
            <a:extLst>
              <a:ext uri="{FF2B5EF4-FFF2-40B4-BE49-F238E27FC236}">
                <a16:creationId xmlns:a16="http://schemas.microsoft.com/office/drawing/2014/main" id="{00000000-0008-0000-0300-00006B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8" name="Text Box 89">
              <a:extLst>
                <a:ext uri="{FF2B5EF4-FFF2-40B4-BE49-F238E27FC236}">
                  <a16:creationId xmlns:a16="http://schemas.microsoft.com/office/drawing/2014/main" id="{00000000-0008-0000-0300-00006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9" name="Text Box 90">
              <a:extLst>
                <a:ext uri="{FF2B5EF4-FFF2-40B4-BE49-F238E27FC236}">
                  <a16:creationId xmlns:a16="http://schemas.microsoft.com/office/drawing/2014/main" id="{00000000-0008-0000-0300-00006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110" name="Group 91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GrpSpPr>
          <a:grpSpLocks/>
        </xdr:cNvGrpSpPr>
      </xdr:nvGrpSpPr>
      <xdr:grpSpPr bwMode="auto">
        <a:xfrm>
          <a:off x="4133850" y="857250"/>
          <a:ext cx="6734175" cy="0"/>
          <a:chOff x="370" y="1725"/>
          <a:chExt cx="611" cy="37"/>
        </a:xfrm>
      </xdr:grpSpPr>
      <xdr:sp macro="" textlink="">
        <xdr:nvSpPr>
          <xdr:cNvPr id="111" name="Text Box 92">
            <a:extLst>
              <a:ext uri="{FF2B5EF4-FFF2-40B4-BE49-F238E27FC236}">
                <a16:creationId xmlns:a16="http://schemas.microsoft.com/office/drawing/2014/main" id="{00000000-0008-0000-0300-00006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2" name="Text Box 93">
            <a:extLst>
              <a:ext uri="{FF2B5EF4-FFF2-40B4-BE49-F238E27FC236}">
                <a16:creationId xmlns:a16="http://schemas.microsoft.com/office/drawing/2014/main" id="{00000000-0008-0000-0300-00007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3" name="Group 94">
            <a:extLst>
              <a:ext uri="{FF2B5EF4-FFF2-40B4-BE49-F238E27FC236}">
                <a16:creationId xmlns:a16="http://schemas.microsoft.com/office/drawing/2014/main" id="{00000000-0008-0000-0300-000071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14" name="Text Box 95">
              <a:extLst>
                <a:ext uri="{FF2B5EF4-FFF2-40B4-BE49-F238E27FC236}">
                  <a16:creationId xmlns:a16="http://schemas.microsoft.com/office/drawing/2014/main" id="{00000000-0008-0000-0300-00007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15" name="Text Box 96">
              <a:extLst>
                <a:ext uri="{FF2B5EF4-FFF2-40B4-BE49-F238E27FC236}">
                  <a16:creationId xmlns:a16="http://schemas.microsoft.com/office/drawing/2014/main" id="{00000000-0008-0000-0300-00007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>
          <a:grpSpLocks/>
        </xdr:cNvGrpSpPr>
      </xdr:nvGrpSpPr>
      <xdr:grpSpPr bwMode="auto">
        <a:xfrm>
          <a:off x="4362450" y="1104900"/>
          <a:ext cx="7143750" cy="0"/>
          <a:chOff x="370" y="1725"/>
          <a:chExt cx="611" cy="37"/>
        </a:xfrm>
      </xdr:grpSpPr>
      <xdr:sp macro="" textlink="">
        <xdr:nvSpPr>
          <xdr:cNvPr id="3" name="Text Box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4" name="Text Box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6" name="Text Box 5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" name="Text Box 6">
              <a:extLst>
                <a:ext uri="{FF2B5EF4-FFF2-40B4-BE49-F238E27FC236}">
                  <a16:creationId xmlns:a16="http://schemas.microsoft.com/office/drawing/2014/main" id="{00000000-0008-0000-0400-00000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>
          <a:grpSpLocks/>
        </xdr:cNvGrpSpPr>
      </xdr:nvGrpSpPr>
      <xdr:grpSpPr bwMode="auto">
        <a:xfrm>
          <a:off x="4362450" y="1104900"/>
          <a:ext cx="7143750" cy="0"/>
          <a:chOff x="370" y="1725"/>
          <a:chExt cx="611" cy="37"/>
        </a:xfrm>
      </xdr:grpSpPr>
      <xdr:sp macro="" textlink="">
        <xdr:nvSpPr>
          <xdr:cNvPr id="9" name="Text Box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" name="Text Box 11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" name="Text Box 12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>
          <a:grpSpLocks/>
        </xdr:cNvGrpSpPr>
      </xdr:nvGrpSpPr>
      <xdr:grpSpPr bwMode="auto">
        <a:xfrm>
          <a:off x="4362450" y="1104900"/>
          <a:ext cx="7143750" cy="0"/>
          <a:chOff x="370" y="1725"/>
          <a:chExt cx="611" cy="37"/>
        </a:xfrm>
      </xdr:grpSpPr>
      <xdr:sp macro="" textlink="">
        <xdr:nvSpPr>
          <xdr:cNvPr id="15" name="Text 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6" name="Text 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8" name="Text Box 17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9" name="Text Box 18">
              <a:extLst>
                <a:ext uri="{FF2B5EF4-FFF2-40B4-BE49-F238E27FC236}">
                  <a16:creationId xmlns:a16="http://schemas.microsoft.com/office/drawing/2014/main" id="{00000000-0008-0000-0400-00001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271</xdr:row>
      <xdr:rowOff>0</xdr:rowOff>
    </xdr:from>
    <xdr:to>
      <xdr:col>11</xdr:col>
      <xdr:colOff>0</xdr:colOff>
      <xdr:row>271</xdr:row>
      <xdr:rowOff>0</xdr:rowOff>
    </xdr:to>
    <xdr:grpSp>
      <xdr:nvGrpSpPr>
        <xdr:cNvPr id="20" name="Group 2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pSpPr>
          <a:grpSpLocks/>
        </xdr:cNvGrpSpPr>
      </xdr:nvGrpSpPr>
      <xdr:grpSpPr bwMode="auto">
        <a:xfrm>
          <a:off x="4362450" y="80895825"/>
          <a:ext cx="7143750" cy="0"/>
          <a:chOff x="370" y="1725"/>
          <a:chExt cx="611" cy="37"/>
        </a:xfrm>
      </xdr:grpSpPr>
      <xdr:sp macro="" textlink="">
        <xdr:nvSpPr>
          <xdr:cNvPr id="21" name="Text Box 21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22" name="Text Box 22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23" name="Group 23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24" name="Text Box 24">
              <a:extLst>
                <a:ext uri="{FF2B5EF4-FFF2-40B4-BE49-F238E27FC236}">
                  <a16:creationId xmlns:a16="http://schemas.microsoft.com/office/drawing/2014/main" id="{00000000-0008-0000-0400-00001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25" name="Text Box 25">
              <a:extLst>
                <a:ext uri="{FF2B5EF4-FFF2-40B4-BE49-F238E27FC236}">
                  <a16:creationId xmlns:a16="http://schemas.microsoft.com/office/drawing/2014/main" id="{00000000-0008-0000-0400-00001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276</xdr:row>
      <xdr:rowOff>0</xdr:rowOff>
    </xdr:from>
    <xdr:to>
      <xdr:col>11</xdr:col>
      <xdr:colOff>0</xdr:colOff>
      <xdr:row>276</xdr:row>
      <xdr:rowOff>0</xdr:rowOff>
    </xdr:to>
    <xdr:grpSp>
      <xdr:nvGrpSpPr>
        <xdr:cNvPr id="26" name="Group 26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GrpSpPr>
          <a:grpSpLocks/>
        </xdr:cNvGrpSpPr>
      </xdr:nvGrpSpPr>
      <xdr:grpSpPr bwMode="auto">
        <a:xfrm>
          <a:off x="4362450" y="82419825"/>
          <a:ext cx="7143750" cy="0"/>
          <a:chOff x="370" y="1725"/>
          <a:chExt cx="611" cy="37"/>
        </a:xfrm>
      </xdr:grpSpPr>
      <xdr:sp macro="" textlink="">
        <xdr:nvSpPr>
          <xdr:cNvPr id="27" name="Text Box 27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28" name="Text Box 28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29" name="Group 29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30" name="Text Box 30">
              <a:extLst>
                <a:ext uri="{FF2B5EF4-FFF2-40B4-BE49-F238E27FC236}">
                  <a16:creationId xmlns:a16="http://schemas.microsoft.com/office/drawing/2014/main" id="{00000000-0008-0000-0400-00001E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31" name="Text Box 31">
              <a:extLst>
                <a:ext uri="{FF2B5EF4-FFF2-40B4-BE49-F238E27FC236}">
                  <a16:creationId xmlns:a16="http://schemas.microsoft.com/office/drawing/2014/main" id="{00000000-0008-0000-0400-00001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grpSp>
      <xdr:nvGrpSpPr>
        <xdr:cNvPr id="32" name="Group 32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GrpSpPr>
          <a:grpSpLocks/>
        </xdr:cNvGrpSpPr>
      </xdr:nvGrpSpPr>
      <xdr:grpSpPr bwMode="auto">
        <a:xfrm>
          <a:off x="4362450" y="82115025"/>
          <a:ext cx="7143750" cy="0"/>
          <a:chOff x="370" y="1725"/>
          <a:chExt cx="611" cy="37"/>
        </a:xfrm>
      </xdr:grpSpPr>
      <xdr:sp macro="" textlink="">
        <xdr:nvSpPr>
          <xdr:cNvPr id="33" name="Text Box 33">
            <a:extLst>
              <a:ext uri="{FF2B5EF4-FFF2-40B4-BE49-F238E27FC236}">
                <a16:creationId xmlns:a16="http://schemas.microsoft.com/office/drawing/2014/main" id="{00000000-0008-0000-0400-00002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34" name="Text Box 34">
            <a:extLst>
              <a:ext uri="{FF2B5EF4-FFF2-40B4-BE49-F238E27FC236}">
                <a16:creationId xmlns:a16="http://schemas.microsoft.com/office/drawing/2014/main" id="{00000000-0008-0000-0400-00002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35" name="Group 35">
            <a:extLst>
              <a:ext uri="{FF2B5EF4-FFF2-40B4-BE49-F238E27FC236}">
                <a16:creationId xmlns:a16="http://schemas.microsoft.com/office/drawing/2014/main" id="{00000000-0008-0000-0400-000023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36" name="Text Box 36">
              <a:extLst>
                <a:ext uri="{FF2B5EF4-FFF2-40B4-BE49-F238E27FC236}">
                  <a16:creationId xmlns:a16="http://schemas.microsoft.com/office/drawing/2014/main" id="{00000000-0008-0000-0400-00002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37" name="Text Box 37">
              <a:extLst>
                <a:ext uri="{FF2B5EF4-FFF2-40B4-BE49-F238E27FC236}">
                  <a16:creationId xmlns:a16="http://schemas.microsoft.com/office/drawing/2014/main" id="{00000000-0008-0000-0400-00002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276</xdr:row>
      <xdr:rowOff>0</xdr:rowOff>
    </xdr:from>
    <xdr:to>
      <xdr:col>11</xdr:col>
      <xdr:colOff>0</xdr:colOff>
      <xdr:row>276</xdr:row>
      <xdr:rowOff>0</xdr:rowOff>
    </xdr:to>
    <xdr:grpSp>
      <xdr:nvGrpSpPr>
        <xdr:cNvPr id="38" name="Group 38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GrpSpPr>
          <a:grpSpLocks/>
        </xdr:cNvGrpSpPr>
      </xdr:nvGrpSpPr>
      <xdr:grpSpPr bwMode="auto">
        <a:xfrm>
          <a:off x="4362450" y="82419825"/>
          <a:ext cx="7143750" cy="0"/>
          <a:chOff x="370" y="1725"/>
          <a:chExt cx="611" cy="37"/>
        </a:xfrm>
      </xdr:grpSpPr>
      <xdr:sp macro="" textlink="">
        <xdr:nvSpPr>
          <xdr:cNvPr id="39" name="Text Box 39">
            <a:extLst>
              <a:ext uri="{FF2B5EF4-FFF2-40B4-BE49-F238E27FC236}">
                <a16:creationId xmlns:a16="http://schemas.microsoft.com/office/drawing/2014/main" id="{00000000-0008-0000-0400-00002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40" name="Text Box 40">
            <a:extLst>
              <a:ext uri="{FF2B5EF4-FFF2-40B4-BE49-F238E27FC236}">
                <a16:creationId xmlns:a16="http://schemas.microsoft.com/office/drawing/2014/main" id="{00000000-0008-0000-0400-00002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41" name="Group 41">
            <a:extLst>
              <a:ext uri="{FF2B5EF4-FFF2-40B4-BE49-F238E27FC236}">
                <a16:creationId xmlns:a16="http://schemas.microsoft.com/office/drawing/2014/main" id="{00000000-0008-0000-0400-000029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42" name="Text Box 42">
              <a:extLst>
                <a:ext uri="{FF2B5EF4-FFF2-40B4-BE49-F238E27FC236}">
                  <a16:creationId xmlns:a16="http://schemas.microsoft.com/office/drawing/2014/main" id="{00000000-0008-0000-0400-00002A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43" name="Text Box 43">
              <a:extLst>
                <a:ext uri="{FF2B5EF4-FFF2-40B4-BE49-F238E27FC236}">
                  <a16:creationId xmlns:a16="http://schemas.microsoft.com/office/drawing/2014/main" id="{00000000-0008-0000-0400-00002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44" name="Group 6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GrpSpPr>
          <a:grpSpLocks/>
        </xdr:cNvGrpSpPr>
      </xdr:nvGrpSpPr>
      <xdr:grpSpPr bwMode="auto">
        <a:xfrm>
          <a:off x="4362450" y="857250"/>
          <a:ext cx="7143750" cy="0"/>
          <a:chOff x="370" y="1725"/>
          <a:chExt cx="611" cy="37"/>
        </a:xfrm>
      </xdr:grpSpPr>
      <xdr:sp macro="" textlink="">
        <xdr:nvSpPr>
          <xdr:cNvPr id="45" name="Text Box 62">
            <a:extLst>
              <a:ext uri="{FF2B5EF4-FFF2-40B4-BE49-F238E27FC236}">
                <a16:creationId xmlns:a16="http://schemas.microsoft.com/office/drawing/2014/main" id="{00000000-0008-0000-0400-00002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46" name="Text Box 63">
            <a:extLst>
              <a:ext uri="{FF2B5EF4-FFF2-40B4-BE49-F238E27FC236}">
                <a16:creationId xmlns:a16="http://schemas.microsoft.com/office/drawing/2014/main" id="{00000000-0008-0000-0400-00002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47" name="Group 64">
            <a:extLst>
              <a:ext uri="{FF2B5EF4-FFF2-40B4-BE49-F238E27FC236}">
                <a16:creationId xmlns:a16="http://schemas.microsoft.com/office/drawing/2014/main" id="{00000000-0008-0000-0400-00002F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48" name="Text Box 65">
              <a:extLst>
                <a:ext uri="{FF2B5EF4-FFF2-40B4-BE49-F238E27FC236}">
                  <a16:creationId xmlns:a16="http://schemas.microsoft.com/office/drawing/2014/main" id="{00000000-0008-0000-0400-00003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49" name="Text Box 66">
              <a:extLst>
                <a:ext uri="{FF2B5EF4-FFF2-40B4-BE49-F238E27FC236}">
                  <a16:creationId xmlns:a16="http://schemas.microsoft.com/office/drawing/2014/main" id="{00000000-0008-0000-0400-00003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50" name="Group 67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GrpSpPr>
          <a:grpSpLocks/>
        </xdr:cNvGrpSpPr>
      </xdr:nvGrpSpPr>
      <xdr:grpSpPr bwMode="auto">
        <a:xfrm>
          <a:off x="4362450" y="857250"/>
          <a:ext cx="7143750" cy="0"/>
          <a:chOff x="370" y="1725"/>
          <a:chExt cx="611" cy="37"/>
        </a:xfrm>
      </xdr:grpSpPr>
      <xdr:sp macro="" textlink="">
        <xdr:nvSpPr>
          <xdr:cNvPr id="51" name="Text Box 68">
            <a:extLst>
              <a:ext uri="{FF2B5EF4-FFF2-40B4-BE49-F238E27FC236}">
                <a16:creationId xmlns:a16="http://schemas.microsoft.com/office/drawing/2014/main" id="{00000000-0008-0000-0400-00003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52" name="Text Box 69">
            <a:extLst>
              <a:ext uri="{FF2B5EF4-FFF2-40B4-BE49-F238E27FC236}">
                <a16:creationId xmlns:a16="http://schemas.microsoft.com/office/drawing/2014/main" id="{00000000-0008-0000-0400-00003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53" name="Group 70">
            <a:extLst>
              <a:ext uri="{FF2B5EF4-FFF2-40B4-BE49-F238E27FC236}">
                <a16:creationId xmlns:a16="http://schemas.microsoft.com/office/drawing/2014/main" id="{00000000-0008-0000-0400-000035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54" name="Text Box 71">
              <a:extLst>
                <a:ext uri="{FF2B5EF4-FFF2-40B4-BE49-F238E27FC236}">
                  <a16:creationId xmlns:a16="http://schemas.microsoft.com/office/drawing/2014/main" id="{00000000-0008-0000-0400-00003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55" name="Text Box 72">
              <a:extLst>
                <a:ext uri="{FF2B5EF4-FFF2-40B4-BE49-F238E27FC236}">
                  <a16:creationId xmlns:a16="http://schemas.microsoft.com/office/drawing/2014/main" id="{00000000-0008-0000-0400-00003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56" name="Group 73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GrpSpPr>
          <a:grpSpLocks/>
        </xdr:cNvGrpSpPr>
      </xdr:nvGrpSpPr>
      <xdr:grpSpPr bwMode="auto">
        <a:xfrm>
          <a:off x="4362450" y="857250"/>
          <a:ext cx="7143750" cy="0"/>
          <a:chOff x="370" y="1725"/>
          <a:chExt cx="611" cy="37"/>
        </a:xfrm>
      </xdr:grpSpPr>
      <xdr:sp macro="" textlink="">
        <xdr:nvSpPr>
          <xdr:cNvPr id="57" name="Text Box 74">
            <a:extLst>
              <a:ext uri="{FF2B5EF4-FFF2-40B4-BE49-F238E27FC236}">
                <a16:creationId xmlns:a16="http://schemas.microsoft.com/office/drawing/2014/main" id="{00000000-0008-0000-0400-00003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58" name="Text Box 75">
            <a:extLst>
              <a:ext uri="{FF2B5EF4-FFF2-40B4-BE49-F238E27FC236}">
                <a16:creationId xmlns:a16="http://schemas.microsoft.com/office/drawing/2014/main" id="{00000000-0008-0000-0400-00003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59" name="Group 76">
            <a:extLst>
              <a:ext uri="{FF2B5EF4-FFF2-40B4-BE49-F238E27FC236}">
                <a16:creationId xmlns:a16="http://schemas.microsoft.com/office/drawing/2014/main" id="{00000000-0008-0000-0400-00003B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60" name="Text Box 77">
              <a:extLst>
                <a:ext uri="{FF2B5EF4-FFF2-40B4-BE49-F238E27FC236}">
                  <a16:creationId xmlns:a16="http://schemas.microsoft.com/office/drawing/2014/main" id="{00000000-0008-0000-0400-00003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61" name="Text Box 78">
              <a:extLst>
                <a:ext uri="{FF2B5EF4-FFF2-40B4-BE49-F238E27FC236}">
                  <a16:creationId xmlns:a16="http://schemas.microsoft.com/office/drawing/2014/main" id="{00000000-0008-0000-0400-00003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62" name="Group 79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GrpSpPr>
          <a:grpSpLocks/>
        </xdr:cNvGrpSpPr>
      </xdr:nvGrpSpPr>
      <xdr:grpSpPr bwMode="auto">
        <a:xfrm>
          <a:off x="4362450" y="857250"/>
          <a:ext cx="7143750" cy="0"/>
          <a:chOff x="370" y="1725"/>
          <a:chExt cx="611" cy="37"/>
        </a:xfrm>
      </xdr:grpSpPr>
      <xdr:sp macro="" textlink="">
        <xdr:nvSpPr>
          <xdr:cNvPr id="63" name="Text Box 80">
            <a:extLst>
              <a:ext uri="{FF2B5EF4-FFF2-40B4-BE49-F238E27FC236}">
                <a16:creationId xmlns:a16="http://schemas.microsoft.com/office/drawing/2014/main" id="{00000000-0008-0000-0400-00003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64" name="Text Box 81">
            <a:extLst>
              <a:ext uri="{FF2B5EF4-FFF2-40B4-BE49-F238E27FC236}">
                <a16:creationId xmlns:a16="http://schemas.microsoft.com/office/drawing/2014/main" id="{00000000-0008-0000-0400-00004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65" name="Group 82">
            <a:extLst>
              <a:ext uri="{FF2B5EF4-FFF2-40B4-BE49-F238E27FC236}">
                <a16:creationId xmlns:a16="http://schemas.microsoft.com/office/drawing/2014/main" id="{00000000-0008-0000-0400-000041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66" name="Text Box 83">
              <a:extLst>
                <a:ext uri="{FF2B5EF4-FFF2-40B4-BE49-F238E27FC236}">
                  <a16:creationId xmlns:a16="http://schemas.microsoft.com/office/drawing/2014/main" id="{00000000-0008-0000-0400-00004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67" name="Text Box 84">
              <a:extLst>
                <a:ext uri="{FF2B5EF4-FFF2-40B4-BE49-F238E27FC236}">
                  <a16:creationId xmlns:a16="http://schemas.microsoft.com/office/drawing/2014/main" id="{00000000-0008-0000-0400-00004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68" name="Group 85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GrpSpPr>
          <a:grpSpLocks/>
        </xdr:cNvGrpSpPr>
      </xdr:nvGrpSpPr>
      <xdr:grpSpPr bwMode="auto">
        <a:xfrm>
          <a:off x="4362450" y="857250"/>
          <a:ext cx="7143750" cy="0"/>
          <a:chOff x="370" y="1725"/>
          <a:chExt cx="611" cy="37"/>
        </a:xfrm>
      </xdr:grpSpPr>
      <xdr:sp macro="" textlink="">
        <xdr:nvSpPr>
          <xdr:cNvPr id="69" name="Text Box 86">
            <a:extLst>
              <a:ext uri="{FF2B5EF4-FFF2-40B4-BE49-F238E27FC236}">
                <a16:creationId xmlns:a16="http://schemas.microsoft.com/office/drawing/2014/main" id="{00000000-0008-0000-0400-00004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70" name="Text Box 87">
            <a:extLst>
              <a:ext uri="{FF2B5EF4-FFF2-40B4-BE49-F238E27FC236}">
                <a16:creationId xmlns:a16="http://schemas.microsoft.com/office/drawing/2014/main" id="{00000000-0008-0000-0400-00004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71" name="Group 88">
            <a:extLst>
              <a:ext uri="{FF2B5EF4-FFF2-40B4-BE49-F238E27FC236}">
                <a16:creationId xmlns:a16="http://schemas.microsoft.com/office/drawing/2014/main" id="{00000000-0008-0000-0400-000047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72" name="Text Box 89">
              <a:extLst>
                <a:ext uri="{FF2B5EF4-FFF2-40B4-BE49-F238E27FC236}">
                  <a16:creationId xmlns:a16="http://schemas.microsoft.com/office/drawing/2014/main" id="{00000000-0008-0000-0400-00004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3" name="Text Box 90">
              <a:extLst>
                <a:ext uri="{FF2B5EF4-FFF2-40B4-BE49-F238E27FC236}">
                  <a16:creationId xmlns:a16="http://schemas.microsoft.com/office/drawing/2014/main" id="{00000000-0008-0000-0400-00004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74" name="Group 91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GrpSpPr>
          <a:grpSpLocks/>
        </xdr:cNvGrpSpPr>
      </xdr:nvGrpSpPr>
      <xdr:grpSpPr bwMode="auto">
        <a:xfrm>
          <a:off x="4362450" y="857250"/>
          <a:ext cx="7143750" cy="0"/>
          <a:chOff x="370" y="1725"/>
          <a:chExt cx="611" cy="37"/>
        </a:xfrm>
      </xdr:grpSpPr>
      <xdr:sp macro="" textlink="">
        <xdr:nvSpPr>
          <xdr:cNvPr id="75" name="Text Box 92">
            <a:extLst>
              <a:ext uri="{FF2B5EF4-FFF2-40B4-BE49-F238E27FC236}">
                <a16:creationId xmlns:a16="http://schemas.microsoft.com/office/drawing/2014/main" id="{00000000-0008-0000-0400-00004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76" name="Text Box 93">
            <a:extLst>
              <a:ext uri="{FF2B5EF4-FFF2-40B4-BE49-F238E27FC236}">
                <a16:creationId xmlns:a16="http://schemas.microsoft.com/office/drawing/2014/main" id="{00000000-0008-0000-0400-00004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77" name="Group 94">
            <a:extLst>
              <a:ext uri="{FF2B5EF4-FFF2-40B4-BE49-F238E27FC236}">
                <a16:creationId xmlns:a16="http://schemas.microsoft.com/office/drawing/2014/main" id="{00000000-0008-0000-0400-00004D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78" name="Text Box 95">
              <a:extLst>
                <a:ext uri="{FF2B5EF4-FFF2-40B4-BE49-F238E27FC236}">
                  <a16:creationId xmlns:a16="http://schemas.microsoft.com/office/drawing/2014/main" id="{00000000-0008-0000-0400-00004E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9" name="Text Box 96">
              <a:extLst>
                <a:ext uri="{FF2B5EF4-FFF2-40B4-BE49-F238E27FC236}">
                  <a16:creationId xmlns:a16="http://schemas.microsoft.com/office/drawing/2014/main" id="{00000000-0008-0000-0400-00004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80" name="Group 61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GrpSpPr>
          <a:grpSpLocks/>
        </xdr:cNvGrpSpPr>
      </xdr:nvGrpSpPr>
      <xdr:grpSpPr bwMode="auto">
        <a:xfrm>
          <a:off x="4362450" y="857250"/>
          <a:ext cx="7143750" cy="0"/>
          <a:chOff x="370" y="1725"/>
          <a:chExt cx="611" cy="37"/>
        </a:xfrm>
      </xdr:grpSpPr>
      <xdr:sp macro="" textlink="">
        <xdr:nvSpPr>
          <xdr:cNvPr id="81" name="Text Box 62">
            <a:extLst>
              <a:ext uri="{FF2B5EF4-FFF2-40B4-BE49-F238E27FC236}">
                <a16:creationId xmlns:a16="http://schemas.microsoft.com/office/drawing/2014/main" id="{00000000-0008-0000-0400-00005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2" name="Text Box 63">
            <a:extLst>
              <a:ext uri="{FF2B5EF4-FFF2-40B4-BE49-F238E27FC236}">
                <a16:creationId xmlns:a16="http://schemas.microsoft.com/office/drawing/2014/main" id="{00000000-0008-0000-0400-00005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3" name="Group 64">
            <a:extLst>
              <a:ext uri="{FF2B5EF4-FFF2-40B4-BE49-F238E27FC236}">
                <a16:creationId xmlns:a16="http://schemas.microsoft.com/office/drawing/2014/main" id="{00000000-0008-0000-0400-000053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84" name="Text Box 65">
              <a:extLst>
                <a:ext uri="{FF2B5EF4-FFF2-40B4-BE49-F238E27FC236}">
                  <a16:creationId xmlns:a16="http://schemas.microsoft.com/office/drawing/2014/main" id="{00000000-0008-0000-0400-00005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85" name="Text Box 66">
              <a:extLst>
                <a:ext uri="{FF2B5EF4-FFF2-40B4-BE49-F238E27FC236}">
                  <a16:creationId xmlns:a16="http://schemas.microsoft.com/office/drawing/2014/main" id="{00000000-0008-0000-0400-00005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86" name="Group 67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GrpSpPr>
          <a:grpSpLocks/>
        </xdr:cNvGrpSpPr>
      </xdr:nvGrpSpPr>
      <xdr:grpSpPr bwMode="auto">
        <a:xfrm>
          <a:off x="4362450" y="857250"/>
          <a:ext cx="7143750" cy="0"/>
          <a:chOff x="370" y="1725"/>
          <a:chExt cx="611" cy="37"/>
        </a:xfrm>
      </xdr:grpSpPr>
      <xdr:sp macro="" textlink="">
        <xdr:nvSpPr>
          <xdr:cNvPr id="87" name="Text Box 68">
            <a:extLst>
              <a:ext uri="{FF2B5EF4-FFF2-40B4-BE49-F238E27FC236}">
                <a16:creationId xmlns:a16="http://schemas.microsoft.com/office/drawing/2014/main" id="{00000000-0008-0000-0400-00005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8" name="Text Box 69">
            <a:extLst>
              <a:ext uri="{FF2B5EF4-FFF2-40B4-BE49-F238E27FC236}">
                <a16:creationId xmlns:a16="http://schemas.microsoft.com/office/drawing/2014/main" id="{00000000-0008-0000-0400-00005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9" name="Group 70">
            <a:extLst>
              <a:ext uri="{FF2B5EF4-FFF2-40B4-BE49-F238E27FC236}">
                <a16:creationId xmlns:a16="http://schemas.microsoft.com/office/drawing/2014/main" id="{00000000-0008-0000-0400-000059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0" name="Text Box 71">
              <a:extLst>
                <a:ext uri="{FF2B5EF4-FFF2-40B4-BE49-F238E27FC236}">
                  <a16:creationId xmlns:a16="http://schemas.microsoft.com/office/drawing/2014/main" id="{00000000-0008-0000-0400-00005A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1" name="Text Box 72">
              <a:extLst>
                <a:ext uri="{FF2B5EF4-FFF2-40B4-BE49-F238E27FC236}">
                  <a16:creationId xmlns:a16="http://schemas.microsoft.com/office/drawing/2014/main" id="{00000000-0008-0000-0400-00005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92" name="Group 73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GrpSpPr>
          <a:grpSpLocks/>
        </xdr:cNvGrpSpPr>
      </xdr:nvGrpSpPr>
      <xdr:grpSpPr bwMode="auto">
        <a:xfrm>
          <a:off x="4362450" y="857250"/>
          <a:ext cx="7143750" cy="0"/>
          <a:chOff x="370" y="1725"/>
          <a:chExt cx="611" cy="37"/>
        </a:xfrm>
      </xdr:grpSpPr>
      <xdr:sp macro="" textlink="">
        <xdr:nvSpPr>
          <xdr:cNvPr id="93" name="Text Box 74">
            <a:extLst>
              <a:ext uri="{FF2B5EF4-FFF2-40B4-BE49-F238E27FC236}">
                <a16:creationId xmlns:a16="http://schemas.microsoft.com/office/drawing/2014/main" id="{00000000-0008-0000-0400-00005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94" name="Text Box 75">
            <a:extLst>
              <a:ext uri="{FF2B5EF4-FFF2-40B4-BE49-F238E27FC236}">
                <a16:creationId xmlns:a16="http://schemas.microsoft.com/office/drawing/2014/main" id="{00000000-0008-0000-0400-00005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95" name="Group 76">
            <a:extLst>
              <a:ext uri="{FF2B5EF4-FFF2-40B4-BE49-F238E27FC236}">
                <a16:creationId xmlns:a16="http://schemas.microsoft.com/office/drawing/2014/main" id="{00000000-0008-0000-0400-00005F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6" name="Text Box 77">
              <a:extLst>
                <a:ext uri="{FF2B5EF4-FFF2-40B4-BE49-F238E27FC236}">
                  <a16:creationId xmlns:a16="http://schemas.microsoft.com/office/drawing/2014/main" id="{00000000-0008-0000-0400-00006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7" name="Text Box 78">
              <a:extLst>
                <a:ext uri="{FF2B5EF4-FFF2-40B4-BE49-F238E27FC236}">
                  <a16:creationId xmlns:a16="http://schemas.microsoft.com/office/drawing/2014/main" id="{00000000-0008-0000-0400-00006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98" name="Group 79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GrpSpPr>
          <a:grpSpLocks/>
        </xdr:cNvGrpSpPr>
      </xdr:nvGrpSpPr>
      <xdr:grpSpPr bwMode="auto">
        <a:xfrm>
          <a:off x="4362450" y="857250"/>
          <a:ext cx="7143750" cy="0"/>
          <a:chOff x="370" y="1725"/>
          <a:chExt cx="611" cy="37"/>
        </a:xfrm>
      </xdr:grpSpPr>
      <xdr:sp macro="" textlink="">
        <xdr:nvSpPr>
          <xdr:cNvPr id="99" name="Text Box 80">
            <a:extLst>
              <a:ext uri="{FF2B5EF4-FFF2-40B4-BE49-F238E27FC236}">
                <a16:creationId xmlns:a16="http://schemas.microsoft.com/office/drawing/2014/main" id="{00000000-0008-0000-0400-00006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0" name="Text Box 81">
            <a:extLst>
              <a:ext uri="{FF2B5EF4-FFF2-40B4-BE49-F238E27FC236}">
                <a16:creationId xmlns:a16="http://schemas.microsoft.com/office/drawing/2014/main" id="{00000000-0008-0000-0400-00006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1" name="Group 82">
            <a:extLst>
              <a:ext uri="{FF2B5EF4-FFF2-40B4-BE49-F238E27FC236}">
                <a16:creationId xmlns:a16="http://schemas.microsoft.com/office/drawing/2014/main" id="{00000000-0008-0000-0400-000065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2" name="Text Box 83">
              <a:extLst>
                <a:ext uri="{FF2B5EF4-FFF2-40B4-BE49-F238E27FC236}">
                  <a16:creationId xmlns:a16="http://schemas.microsoft.com/office/drawing/2014/main" id="{00000000-0008-0000-0400-00006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3" name="Text Box 84">
              <a:extLst>
                <a:ext uri="{FF2B5EF4-FFF2-40B4-BE49-F238E27FC236}">
                  <a16:creationId xmlns:a16="http://schemas.microsoft.com/office/drawing/2014/main" id="{00000000-0008-0000-0400-00006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104" name="Group 85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GrpSpPr>
          <a:grpSpLocks/>
        </xdr:cNvGrpSpPr>
      </xdr:nvGrpSpPr>
      <xdr:grpSpPr bwMode="auto">
        <a:xfrm>
          <a:off x="4362450" y="857250"/>
          <a:ext cx="7143750" cy="0"/>
          <a:chOff x="370" y="1725"/>
          <a:chExt cx="611" cy="37"/>
        </a:xfrm>
      </xdr:grpSpPr>
      <xdr:sp macro="" textlink="">
        <xdr:nvSpPr>
          <xdr:cNvPr id="105" name="Text Box 86">
            <a:extLst>
              <a:ext uri="{FF2B5EF4-FFF2-40B4-BE49-F238E27FC236}">
                <a16:creationId xmlns:a16="http://schemas.microsoft.com/office/drawing/2014/main" id="{00000000-0008-0000-0400-00006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6" name="Text Box 87">
            <a:extLst>
              <a:ext uri="{FF2B5EF4-FFF2-40B4-BE49-F238E27FC236}">
                <a16:creationId xmlns:a16="http://schemas.microsoft.com/office/drawing/2014/main" id="{00000000-0008-0000-0400-00006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7" name="Group 88">
            <a:extLst>
              <a:ext uri="{FF2B5EF4-FFF2-40B4-BE49-F238E27FC236}">
                <a16:creationId xmlns:a16="http://schemas.microsoft.com/office/drawing/2014/main" id="{00000000-0008-0000-0400-00006B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8" name="Text Box 89">
              <a:extLst>
                <a:ext uri="{FF2B5EF4-FFF2-40B4-BE49-F238E27FC236}">
                  <a16:creationId xmlns:a16="http://schemas.microsoft.com/office/drawing/2014/main" id="{00000000-0008-0000-0400-00006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9" name="Text Box 90">
              <a:extLst>
                <a:ext uri="{FF2B5EF4-FFF2-40B4-BE49-F238E27FC236}">
                  <a16:creationId xmlns:a16="http://schemas.microsoft.com/office/drawing/2014/main" id="{00000000-0008-0000-0400-00006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110" name="Group 91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GrpSpPr>
          <a:grpSpLocks/>
        </xdr:cNvGrpSpPr>
      </xdr:nvGrpSpPr>
      <xdr:grpSpPr bwMode="auto">
        <a:xfrm>
          <a:off x="4362450" y="857250"/>
          <a:ext cx="7143750" cy="0"/>
          <a:chOff x="370" y="1725"/>
          <a:chExt cx="611" cy="37"/>
        </a:xfrm>
      </xdr:grpSpPr>
      <xdr:sp macro="" textlink="">
        <xdr:nvSpPr>
          <xdr:cNvPr id="111" name="Text Box 92">
            <a:extLst>
              <a:ext uri="{FF2B5EF4-FFF2-40B4-BE49-F238E27FC236}">
                <a16:creationId xmlns:a16="http://schemas.microsoft.com/office/drawing/2014/main" id="{00000000-0008-0000-0400-00006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2" name="Text Box 93">
            <a:extLst>
              <a:ext uri="{FF2B5EF4-FFF2-40B4-BE49-F238E27FC236}">
                <a16:creationId xmlns:a16="http://schemas.microsoft.com/office/drawing/2014/main" id="{00000000-0008-0000-0400-00007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3" name="Group 94">
            <a:extLst>
              <a:ext uri="{FF2B5EF4-FFF2-40B4-BE49-F238E27FC236}">
                <a16:creationId xmlns:a16="http://schemas.microsoft.com/office/drawing/2014/main" id="{00000000-0008-0000-0400-000071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14" name="Text Box 95">
              <a:extLst>
                <a:ext uri="{FF2B5EF4-FFF2-40B4-BE49-F238E27FC236}">
                  <a16:creationId xmlns:a16="http://schemas.microsoft.com/office/drawing/2014/main" id="{00000000-0008-0000-0400-00007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15" name="Text Box 96">
              <a:extLst>
                <a:ext uri="{FF2B5EF4-FFF2-40B4-BE49-F238E27FC236}">
                  <a16:creationId xmlns:a16="http://schemas.microsoft.com/office/drawing/2014/main" id="{00000000-0008-0000-0400-00007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3" name="Text Box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4" name="Text Box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6" name="Text Box 5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" name="Text Box 6">
              <a:extLst>
                <a:ext uri="{FF2B5EF4-FFF2-40B4-BE49-F238E27FC236}">
                  <a16:creationId xmlns:a16="http://schemas.microsoft.com/office/drawing/2014/main" id="{00000000-0008-0000-0500-00000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9" name="Text Box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" name="Text Box 11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" name="Text Box 12">
              <a:extLst>
                <a:ext uri="{FF2B5EF4-FFF2-40B4-BE49-F238E27FC236}">
                  <a16:creationId xmlns:a16="http://schemas.microsoft.com/office/drawing/2014/main" id="{00000000-0008-0000-05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15" name="Text 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6" name="Text 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8" name="Text Box 17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9" name="Text Box 18">
              <a:extLst>
                <a:ext uri="{FF2B5EF4-FFF2-40B4-BE49-F238E27FC236}">
                  <a16:creationId xmlns:a16="http://schemas.microsoft.com/office/drawing/2014/main" id="{00000000-0008-0000-0500-00001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67</xdr:row>
      <xdr:rowOff>0</xdr:rowOff>
    </xdr:from>
    <xdr:to>
      <xdr:col>11</xdr:col>
      <xdr:colOff>0</xdr:colOff>
      <xdr:row>67</xdr:row>
      <xdr:rowOff>0</xdr:rowOff>
    </xdr:to>
    <xdr:grpSp>
      <xdr:nvGrpSpPr>
        <xdr:cNvPr id="20" name="Group 20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GrpSpPr>
          <a:grpSpLocks/>
        </xdr:cNvGrpSpPr>
      </xdr:nvGrpSpPr>
      <xdr:grpSpPr bwMode="auto">
        <a:xfrm>
          <a:off x="4286250" y="14154150"/>
          <a:ext cx="6734175" cy="0"/>
          <a:chOff x="370" y="1725"/>
          <a:chExt cx="611" cy="37"/>
        </a:xfrm>
      </xdr:grpSpPr>
      <xdr:sp macro="" textlink="">
        <xdr:nvSpPr>
          <xdr:cNvPr id="21" name="Text Box 21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22" name="Text Box 22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23" name="Group 23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24" name="Text Box 24">
              <a:extLst>
                <a:ext uri="{FF2B5EF4-FFF2-40B4-BE49-F238E27FC236}">
                  <a16:creationId xmlns:a16="http://schemas.microsoft.com/office/drawing/2014/main" id="{00000000-0008-0000-0500-00001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25" name="Text Box 25">
              <a:extLst>
                <a:ext uri="{FF2B5EF4-FFF2-40B4-BE49-F238E27FC236}">
                  <a16:creationId xmlns:a16="http://schemas.microsoft.com/office/drawing/2014/main" id="{00000000-0008-0000-0500-00001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72</xdr:row>
      <xdr:rowOff>0</xdr:rowOff>
    </xdr:from>
    <xdr:to>
      <xdr:col>11</xdr:col>
      <xdr:colOff>0</xdr:colOff>
      <xdr:row>72</xdr:row>
      <xdr:rowOff>0</xdr:rowOff>
    </xdr:to>
    <xdr:grpSp>
      <xdr:nvGrpSpPr>
        <xdr:cNvPr id="26" name="Group 26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pSpPr>
          <a:grpSpLocks/>
        </xdr:cNvGrpSpPr>
      </xdr:nvGrpSpPr>
      <xdr:grpSpPr bwMode="auto">
        <a:xfrm>
          <a:off x="4286250" y="15678150"/>
          <a:ext cx="6734175" cy="0"/>
          <a:chOff x="370" y="1725"/>
          <a:chExt cx="611" cy="37"/>
        </a:xfrm>
      </xdr:grpSpPr>
      <xdr:sp macro="" textlink="">
        <xdr:nvSpPr>
          <xdr:cNvPr id="27" name="Text Box 27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28" name="Text Box 28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29" name="Group 29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30" name="Text Box 30">
              <a:extLst>
                <a:ext uri="{FF2B5EF4-FFF2-40B4-BE49-F238E27FC236}">
                  <a16:creationId xmlns:a16="http://schemas.microsoft.com/office/drawing/2014/main" id="{00000000-0008-0000-0500-00001E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31" name="Text Box 31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71</xdr:row>
      <xdr:rowOff>0</xdr:rowOff>
    </xdr:from>
    <xdr:to>
      <xdr:col>11</xdr:col>
      <xdr:colOff>0</xdr:colOff>
      <xdr:row>71</xdr:row>
      <xdr:rowOff>0</xdr:rowOff>
    </xdr:to>
    <xdr:grpSp>
      <xdr:nvGrpSpPr>
        <xdr:cNvPr id="32" name="Group 32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GrpSpPr>
          <a:grpSpLocks/>
        </xdr:cNvGrpSpPr>
      </xdr:nvGrpSpPr>
      <xdr:grpSpPr bwMode="auto">
        <a:xfrm>
          <a:off x="4286250" y="15373350"/>
          <a:ext cx="6734175" cy="0"/>
          <a:chOff x="370" y="1725"/>
          <a:chExt cx="611" cy="37"/>
        </a:xfrm>
      </xdr:grpSpPr>
      <xdr:sp macro="" textlink="">
        <xdr:nvSpPr>
          <xdr:cNvPr id="33" name="Text Box 33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34" name="Text Box 34">
            <a:extLst>
              <a:ext uri="{FF2B5EF4-FFF2-40B4-BE49-F238E27FC236}">
                <a16:creationId xmlns:a16="http://schemas.microsoft.com/office/drawing/2014/main" id="{00000000-0008-0000-0500-00002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35" name="Group 35">
            <a:extLst>
              <a:ext uri="{FF2B5EF4-FFF2-40B4-BE49-F238E27FC236}">
                <a16:creationId xmlns:a16="http://schemas.microsoft.com/office/drawing/2014/main" id="{00000000-0008-0000-0500-000023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36" name="Text Box 36">
              <a:extLst>
                <a:ext uri="{FF2B5EF4-FFF2-40B4-BE49-F238E27FC236}">
                  <a16:creationId xmlns:a16="http://schemas.microsoft.com/office/drawing/2014/main" id="{00000000-0008-0000-0500-00002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37" name="Text Box 37">
              <a:extLst>
                <a:ext uri="{FF2B5EF4-FFF2-40B4-BE49-F238E27FC236}">
                  <a16:creationId xmlns:a16="http://schemas.microsoft.com/office/drawing/2014/main" id="{00000000-0008-0000-0500-00002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72</xdr:row>
      <xdr:rowOff>0</xdr:rowOff>
    </xdr:from>
    <xdr:to>
      <xdr:col>11</xdr:col>
      <xdr:colOff>0</xdr:colOff>
      <xdr:row>72</xdr:row>
      <xdr:rowOff>0</xdr:rowOff>
    </xdr:to>
    <xdr:grpSp>
      <xdr:nvGrpSpPr>
        <xdr:cNvPr id="38" name="Group 38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GrpSpPr>
          <a:grpSpLocks/>
        </xdr:cNvGrpSpPr>
      </xdr:nvGrpSpPr>
      <xdr:grpSpPr bwMode="auto">
        <a:xfrm>
          <a:off x="4286250" y="15678150"/>
          <a:ext cx="6734175" cy="0"/>
          <a:chOff x="370" y="1725"/>
          <a:chExt cx="611" cy="37"/>
        </a:xfrm>
      </xdr:grpSpPr>
      <xdr:sp macro="" textlink="">
        <xdr:nvSpPr>
          <xdr:cNvPr id="39" name="Text Box 39">
            <a:extLst>
              <a:ext uri="{FF2B5EF4-FFF2-40B4-BE49-F238E27FC236}">
                <a16:creationId xmlns:a16="http://schemas.microsoft.com/office/drawing/2014/main" id="{00000000-0008-0000-0500-00002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40" name="Text Box 40">
            <a:extLst>
              <a:ext uri="{FF2B5EF4-FFF2-40B4-BE49-F238E27FC236}">
                <a16:creationId xmlns:a16="http://schemas.microsoft.com/office/drawing/2014/main" id="{00000000-0008-0000-0500-00002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41" name="Group 41">
            <a:extLst>
              <a:ext uri="{FF2B5EF4-FFF2-40B4-BE49-F238E27FC236}">
                <a16:creationId xmlns:a16="http://schemas.microsoft.com/office/drawing/2014/main" id="{00000000-0008-0000-0500-000029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42" name="Text Box 42">
              <a:extLst>
                <a:ext uri="{FF2B5EF4-FFF2-40B4-BE49-F238E27FC236}">
                  <a16:creationId xmlns:a16="http://schemas.microsoft.com/office/drawing/2014/main" id="{00000000-0008-0000-0500-00002A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43" name="Text Box 43">
              <a:extLst>
                <a:ext uri="{FF2B5EF4-FFF2-40B4-BE49-F238E27FC236}">
                  <a16:creationId xmlns:a16="http://schemas.microsoft.com/office/drawing/2014/main" id="{00000000-0008-0000-0500-00002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44" name="Group 61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6734175" cy="0"/>
          <a:chOff x="370" y="1725"/>
          <a:chExt cx="611" cy="37"/>
        </a:xfrm>
      </xdr:grpSpPr>
      <xdr:sp macro="" textlink="">
        <xdr:nvSpPr>
          <xdr:cNvPr id="45" name="Text Box 62">
            <a:extLst>
              <a:ext uri="{FF2B5EF4-FFF2-40B4-BE49-F238E27FC236}">
                <a16:creationId xmlns:a16="http://schemas.microsoft.com/office/drawing/2014/main" id="{00000000-0008-0000-0500-00002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46" name="Text Box 63">
            <a:extLst>
              <a:ext uri="{FF2B5EF4-FFF2-40B4-BE49-F238E27FC236}">
                <a16:creationId xmlns:a16="http://schemas.microsoft.com/office/drawing/2014/main" id="{00000000-0008-0000-0500-00002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47" name="Group 64">
            <a:extLst>
              <a:ext uri="{FF2B5EF4-FFF2-40B4-BE49-F238E27FC236}">
                <a16:creationId xmlns:a16="http://schemas.microsoft.com/office/drawing/2014/main" id="{00000000-0008-0000-0500-00002F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48" name="Text Box 65">
              <a:extLst>
                <a:ext uri="{FF2B5EF4-FFF2-40B4-BE49-F238E27FC236}">
                  <a16:creationId xmlns:a16="http://schemas.microsoft.com/office/drawing/2014/main" id="{00000000-0008-0000-0500-00003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49" name="Text Box 66">
              <a:extLst>
                <a:ext uri="{FF2B5EF4-FFF2-40B4-BE49-F238E27FC236}">
                  <a16:creationId xmlns:a16="http://schemas.microsoft.com/office/drawing/2014/main" id="{00000000-0008-0000-0500-00003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50" name="Group 67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6734175" cy="0"/>
          <a:chOff x="370" y="1725"/>
          <a:chExt cx="611" cy="37"/>
        </a:xfrm>
      </xdr:grpSpPr>
      <xdr:sp macro="" textlink="">
        <xdr:nvSpPr>
          <xdr:cNvPr id="51" name="Text Box 68">
            <a:extLst>
              <a:ext uri="{FF2B5EF4-FFF2-40B4-BE49-F238E27FC236}">
                <a16:creationId xmlns:a16="http://schemas.microsoft.com/office/drawing/2014/main" id="{00000000-0008-0000-0500-00003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52" name="Text Box 69">
            <a:extLst>
              <a:ext uri="{FF2B5EF4-FFF2-40B4-BE49-F238E27FC236}">
                <a16:creationId xmlns:a16="http://schemas.microsoft.com/office/drawing/2014/main" id="{00000000-0008-0000-0500-00003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53" name="Group 70">
            <a:extLst>
              <a:ext uri="{FF2B5EF4-FFF2-40B4-BE49-F238E27FC236}">
                <a16:creationId xmlns:a16="http://schemas.microsoft.com/office/drawing/2014/main" id="{00000000-0008-0000-0500-000035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54" name="Text Box 71">
              <a:extLst>
                <a:ext uri="{FF2B5EF4-FFF2-40B4-BE49-F238E27FC236}">
                  <a16:creationId xmlns:a16="http://schemas.microsoft.com/office/drawing/2014/main" id="{00000000-0008-0000-0500-00003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55" name="Text Box 72">
              <a:extLst>
                <a:ext uri="{FF2B5EF4-FFF2-40B4-BE49-F238E27FC236}">
                  <a16:creationId xmlns:a16="http://schemas.microsoft.com/office/drawing/2014/main" id="{00000000-0008-0000-0500-00003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56" name="Group 73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6734175" cy="0"/>
          <a:chOff x="370" y="1725"/>
          <a:chExt cx="611" cy="37"/>
        </a:xfrm>
      </xdr:grpSpPr>
      <xdr:sp macro="" textlink="">
        <xdr:nvSpPr>
          <xdr:cNvPr id="57" name="Text Box 74">
            <a:extLst>
              <a:ext uri="{FF2B5EF4-FFF2-40B4-BE49-F238E27FC236}">
                <a16:creationId xmlns:a16="http://schemas.microsoft.com/office/drawing/2014/main" id="{00000000-0008-0000-0500-00003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58" name="Text Box 75">
            <a:extLst>
              <a:ext uri="{FF2B5EF4-FFF2-40B4-BE49-F238E27FC236}">
                <a16:creationId xmlns:a16="http://schemas.microsoft.com/office/drawing/2014/main" id="{00000000-0008-0000-0500-00003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59" name="Group 76">
            <a:extLst>
              <a:ext uri="{FF2B5EF4-FFF2-40B4-BE49-F238E27FC236}">
                <a16:creationId xmlns:a16="http://schemas.microsoft.com/office/drawing/2014/main" id="{00000000-0008-0000-0500-00003B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60" name="Text Box 77">
              <a:extLst>
                <a:ext uri="{FF2B5EF4-FFF2-40B4-BE49-F238E27FC236}">
                  <a16:creationId xmlns:a16="http://schemas.microsoft.com/office/drawing/2014/main" id="{00000000-0008-0000-0500-00003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61" name="Text Box 78">
              <a:extLst>
                <a:ext uri="{FF2B5EF4-FFF2-40B4-BE49-F238E27FC236}">
                  <a16:creationId xmlns:a16="http://schemas.microsoft.com/office/drawing/2014/main" id="{00000000-0008-0000-0500-00003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62" name="Group 79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6734175" cy="0"/>
          <a:chOff x="370" y="1725"/>
          <a:chExt cx="611" cy="37"/>
        </a:xfrm>
      </xdr:grpSpPr>
      <xdr:sp macro="" textlink="">
        <xdr:nvSpPr>
          <xdr:cNvPr id="63" name="Text Box 80">
            <a:extLst>
              <a:ext uri="{FF2B5EF4-FFF2-40B4-BE49-F238E27FC236}">
                <a16:creationId xmlns:a16="http://schemas.microsoft.com/office/drawing/2014/main" id="{00000000-0008-0000-0500-00003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64" name="Text Box 81">
            <a:extLst>
              <a:ext uri="{FF2B5EF4-FFF2-40B4-BE49-F238E27FC236}">
                <a16:creationId xmlns:a16="http://schemas.microsoft.com/office/drawing/2014/main" id="{00000000-0008-0000-0500-00004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65" name="Group 82">
            <a:extLst>
              <a:ext uri="{FF2B5EF4-FFF2-40B4-BE49-F238E27FC236}">
                <a16:creationId xmlns:a16="http://schemas.microsoft.com/office/drawing/2014/main" id="{00000000-0008-0000-0500-000041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66" name="Text Box 83">
              <a:extLst>
                <a:ext uri="{FF2B5EF4-FFF2-40B4-BE49-F238E27FC236}">
                  <a16:creationId xmlns:a16="http://schemas.microsoft.com/office/drawing/2014/main" id="{00000000-0008-0000-0500-00004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67" name="Text Box 84">
              <a:extLst>
                <a:ext uri="{FF2B5EF4-FFF2-40B4-BE49-F238E27FC236}">
                  <a16:creationId xmlns:a16="http://schemas.microsoft.com/office/drawing/2014/main" id="{00000000-0008-0000-0500-00004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68" name="Group 85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6734175" cy="0"/>
          <a:chOff x="370" y="1725"/>
          <a:chExt cx="611" cy="37"/>
        </a:xfrm>
      </xdr:grpSpPr>
      <xdr:sp macro="" textlink="">
        <xdr:nvSpPr>
          <xdr:cNvPr id="69" name="Text Box 86">
            <a:extLst>
              <a:ext uri="{FF2B5EF4-FFF2-40B4-BE49-F238E27FC236}">
                <a16:creationId xmlns:a16="http://schemas.microsoft.com/office/drawing/2014/main" id="{00000000-0008-0000-0500-00004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70" name="Text Box 87">
            <a:extLst>
              <a:ext uri="{FF2B5EF4-FFF2-40B4-BE49-F238E27FC236}">
                <a16:creationId xmlns:a16="http://schemas.microsoft.com/office/drawing/2014/main" id="{00000000-0008-0000-0500-00004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71" name="Group 88">
            <a:extLst>
              <a:ext uri="{FF2B5EF4-FFF2-40B4-BE49-F238E27FC236}">
                <a16:creationId xmlns:a16="http://schemas.microsoft.com/office/drawing/2014/main" id="{00000000-0008-0000-0500-000047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72" name="Text Box 89">
              <a:extLst>
                <a:ext uri="{FF2B5EF4-FFF2-40B4-BE49-F238E27FC236}">
                  <a16:creationId xmlns:a16="http://schemas.microsoft.com/office/drawing/2014/main" id="{00000000-0008-0000-0500-00004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3" name="Text Box 90">
              <a:extLst>
                <a:ext uri="{FF2B5EF4-FFF2-40B4-BE49-F238E27FC236}">
                  <a16:creationId xmlns:a16="http://schemas.microsoft.com/office/drawing/2014/main" id="{00000000-0008-0000-0500-00004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74" name="Group 91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6734175" cy="0"/>
          <a:chOff x="370" y="1725"/>
          <a:chExt cx="611" cy="37"/>
        </a:xfrm>
      </xdr:grpSpPr>
      <xdr:sp macro="" textlink="">
        <xdr:nvSpPr>
          <xdr:cNvPr id="75" name="Text Box 92">
            <a:extLst>
              <a:ext uri="{FF2B5EF4-FFF2-40B4-BE49-F238E27FC236}">
                <a16:creationId xmlns:a16="http://schemas.microsoft.com/office/drawing/2014/main" id="{00000000-0008-0000-0500-00004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76" name="Text Box 93">
            <a:extLst>
              <a:ext uri="{FF2B5EF4-FFF2-40B4-BE49-F238E27FC236}">
                <a16:creationId xmlns:a16="http://schemas.microsoft.com/office/drawing/2014/main" id="{00000000-0008-0000-0500-00004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77" name="Group 94">
            <a:extLst>
              <a:ext uri="{FF2B5EF4-FFF2-40B4-BE49-F238E27FC236}">
                <a16:creationId xmlns:a16="http://schemas.microsoft.com/office/drawing/2014/main" id="{00000000-0008-0000-0500-00004D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78" name="Text Box 95">
              <a:extLst>
                <a:ext uri="{FF2B5EF4-FFF2-40B4-BE49-F238E27FC236}">
                  <a16:creationId xmlns:a16="http://schemas.microsoft.com/office/drawing/2014/main" id="{00000000-0008-0000-0500-00004E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9" name="Text Box 96">
              <a:extLst>
                <a:ext uri="{FF2B5EF4-FFF2-40B4-BE49-F238E27FC236}">
                  <a16:creationId xmlns:a16="http://schemas.microsoft.com/office/drawing/2014/main" id="{00000000-0008-0000-0500-00004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80" name="Group 61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6734175" cy="0"/>
          <a:chOff x="370" y="1725"/>
          <a:chExt cx="611" cy="37"/>
        </a:xfrm>
      </xdr:grpSpPr>
      <xdr:sp macro="" textlink="">
        <xdr:nvSpPr>
          <xdr:cNvPr id="81" name="Text Box 62">
            <a:extLst>
              <a:ext uri="{FF2B5EF4-FFF2-40B4-BE49-F238E27FC236}">
                <a16:creationId xmlns:a16="http://schemas.microsoft.com/office/drawing/2014/main" id="{00000000-0008-0000-0500-00005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2" name="Text Box 63">
            <a:extLst>
              <a:ext uri="{FF2B5EF4-FFF2-40B4-BE49-F238E27FC236}">
                <a16:creationId xmlns:a16="http://schemas.microsoft.com/office/drawing/2014/main" id="{00000000-0008-0000-0500-00005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3" name="Group 64">
            <a:extLst>
              <a:ext uri="{FF2B5EF4-FFF2-40B4-BE49-F238E27FC236}">
                <a16:creationId xmlns:a16="http://schemas.microsoft.com/office/drawing/2014/main" id="{00000000-0008-0000-0500-000053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84" name="Text Box 65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85" name="Text Box 66">
              <a:extLst>
                <a:ext uri="{FF2B5EF4-FFF2-40B4-BE49-F238E27FC236}">
                  <a16:creationId xmlns:a16="http://schemas.microsoft.com/office/drawing/2014/main" id="{00000000-0008-0000-0500-00005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86" name="Group 67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6734175" cy="0"/>
          <a:chOff x="370" y="1725"/>
          <a:chExt cx="611" cy="37"/>
        </a:xfrm>
      </xdr:grpSpPr>
      <xdr:sp macro="" textlink="">
        <xdr:nvSpPr>
          <xdr:cNvPr id="87" name="Text Box 68">
            <a:extLst>
              <a:ext uri="{FF2B5EF4-FFF2-40B4-BE49-F238E27FC236}">
                <a16:creationId xmlns:a16="http://schemas.microsoft.com/office/drawing/2014/main" id="{00000000-0008-0000-0500-00005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8" name="Text Box 69">
            <a:extLst>
              <a:ext uri="{FF2B5EF4-FFF2-40B4-BE49-F238E27FC236}">
                <a16:creationId xmlns:a16="http://schemas.microsoft.com/office/drawing/2014/main" id="{00000000-0008-0000-0500-00005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9" name="Group 70">
            <a:extLst>
              <a:ext uri="{FF2B5EF4-FFF2-40B4-BE49-F238E27FC236}">
                <a16:creationId xmlns:a16="http://schemas.microsoft.com/office/drawing/2014/main" id="{00000000-0008-0000-0500-000059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0" name="Text Box 71">
              <a:extLst>
                <a:ext uri="{FF2B5EF4-FFF2-40B4-BE49-F238E27FC236}">
                  <a16:creationId xmlns:a16="http://schemas.microsoft.com/office/drawing/2014/main" id="{00000000-0008-0000-0500-00005A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1" name="Text Box 72">
              <a:extLst>
                <a:ext uri="{FF2B5EF4-FFF2-40B4-BE49-F238E27FC236}">
                  <a16:creationId xmlns:a16="http://schemas.microsoft.com/office/drawing/2014/main" id="{00000000-0008-0000-0500-00005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92" name="Group 73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6734175" cy="0"/>
          <a:chOff x="370" y="1725"/>
          <a:chExt cx="611" cy="37"/>
        </a:xfrm>
      </xdr:grpSpPr>
      <xdr:sp macro="" textlink="">
        <xdr:nvSpPr>
          <xdr:cNvPr id="93" name="Text Box 74">
            <a:extLst>
              <a:ext uri="{FF2B5EF4-FFF2-40B4-BE49-F238E27FC236}">
                <a16:creationId xmlns:a16="http://schemas.microsoft.com/office/drawing/2014/main" id="{00000000-0008-0000-0500-00005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94" name="Text Box 75">
            <a:extLst>
              <a:ext uri="{FF2B5EF4-FFF2-40B4-BE49-F238E27FC236}">
                <a16:creationId xmlns:a16="http://schemas.microsoft.com/office/drawing/2014/main" id="{00000000-0008-0000-0500-00005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95" name="Group 76">
            <a:extLst>
              <a:ext uri="{FF2B5EF4-FFF2-40B4-BE49-F238E27FC236}">
                <a16:creationId xmlns:a16="http://schemas.microsoft.com/office/drawing/2014/main" id="{00000000-0008-0000-0500-00005F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6" name="Text Box 77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7" name="Text Box 78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98" name="Group 79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6734175" cy="0"/>
          <a:chOff x="370" y="1725"/>
          <a:chExt cx="611" cy="37"/>
        </a:xfrm>
      </xdr:grpSpPr>
      <xdr:sp macro="" textlink="">
        <xdr:nvSpPr>
          <xdr:cNvPr id="99" name="Text Box 80">
            <a:extLst>
              <a:ext uri="{FF2B5EF4-FFF2-40B4-BE49-F238E27FC236}">
                <a16:creationId xmlns:a16="http://schemas.microsoft.com/office/drawing/2014/main" id="{00000000-0008-0000-0500-00006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0" name="Text Box 81">
            <a:extLst>
              <a:ext uri="{FF2B5EF4-FFF2-40B4-BE49-F238E27FC236}">
                <a16:creationId xmlns:a16="http://schemas.microsoft.com/office/drawing/2014/main" id="{00000000-0008-0000-0500-00006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1" name="Group 82">
            <a:extLst>
              <a:ext uri="{FF2B5EF4-FFF2-40B4-BE49-F238E27FC236}">
                <a16:creationId xmlns:a16="http://schemas.microsoft.com/office/drawing/2014/main" id="{00000000-0008-0000-0500-000065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2" name="Text Box 83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3" name="Text Box 84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104" name="Group 85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6734175" cy="0"/>
          <a:chOff x="370" y="1725"/>
          <a:chExt cx="611" cy="37"/>
        </a:xfrm>
      </xdr:grpSpPr>
      <xdr:sp macro="" textlink="">
        <xdr:nvSpPr>
          <xdr:cNvPr id="105" name="Text Box 86">
            <a:extLst>
              <a:ext uri="{FF2B5EF4-FFF2-40B4-BE49-F238E27FC236}">
                <a16:creationId xmlns:a16="http://schemas.microsoft.com/office/drawing/2014/main" id="{00000000-0008-0000-0500-00006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6" name="Text Box 87">
            <a:extLst>
              <a:ext uri="{FF2B5EF4-FFF2-40B4-BE49-F238E27FC236}">
                <a16:creationId xmlns:a16="http://schemas.microsoft.com/office/drawing/2014/main" id="{00000000-0008-0000-0500-00006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7" name="Group 88">
            <a:extLst>
              <a:ext uri="{FF2B5EF4-FFF2-40B4-BE49-F238E27FC236}">
                <a16:creationId xmlns:a16="http://schemas.microsoft.com/office/drawing/2014/main" id="{00000000-0008-0000-0500-00006B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8" name="Text Box 89">
              <a:extLst>
                <a:ext uri="{FF2B5EF4-FFF2-40B4-BE49-F238E27FC236}">
                  <a16:creationId xmlns:a16="http://schemas.microsoft.com/office/drawing/2014/main" id="{00000000-0008-0000-0500-00006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9" name="Text Box 90">
              <a:extLst>
                <a:ext uri="{FF2B5EF4-FFF2-40B4-BE49-F238E27FC236}">
                  <a16:creationId xmlns:a16="http://schemas.microsoft.com/office/drawing/2014/main" id="{00000000-0008-0000-0500-00006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11</xdr:col>
      <xdr:colOff>0</xdr:colOff>
      <xdr:row>3</xdr:row>
      <xdr:rowOff>0</xdr:rowOff>
    </xdr:to>
    <xdr:grpSp>
      <xdr:nvGrpSpPr>
        <xdr:cNvPr id="110" name="Group 91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6734175" cy="0"/>
          <a:chOff x="370" y="1725"/>
          <a:chExt cx="611" cy="37"/>
        </a:xfrm>
      </xdr:grpSpPr>
      <xdr:sp macro="" textlink="">
        <xdr:nvSpPr>
          <xdr:cNvPr id="111" name="Text Box 92">
            <a:extLst>
              <a:ext uri="{FF2B5EF4-FFF2-40B4-BE49-F238E27FC236}">
                <a16:creationId xmlns:a16="http://schemas.microsoft.com/office/drawing/2014/main" id="{00000000-0008-0000-0500-00006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2" name="Text Box 93">
            <a:extLst>
              <a:ext uri="{FF2B5EF4-FFF2-40B4-BE49-F238E27FC236}">
                <a16:creationId xmlns:a16="http://schemas.microsoft.com/office/drawing/2014/main" id="{00000000-0008-0000-0500-00007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3" name="Group 94">
            <a:extLst>
              <a:ext uri="{FF2B5EF4-FFF2-40B4-BE49-F238E27FC236}">
                <a16:creationId xmlns:a16="http://schemas.microsoft.com/office/drawing/2014/main" id="{00000000-0008-0000-0500-000071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14" name="Text Box 95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15" name="Text Box 96">
              <a:extLst>
                <a:ext uri="{FF2B5EF4-FFF2-40B4-BE49-F238E27FC236}">
                  <a16:creationId xmlns:a16="http://schemas.microsoft.com/office/drawing/2014/main" id="{00000000-0008-0000-0500-00007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3" name="Text Box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4" name="Text Box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6" name="Text Box 5">
              <a:extLst>
                <a:ext uri="{FF2B5EF4-FFF2-40B4-BE49-F238E27FC236}">
                  <a16:creationId xmlns:a16="http://schemas.microsoft.com/office/drawing/2014/main" id="{00000000-0008-0000-0600-00000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" name="Text Box 6">
              <a:extLst>
                <a:ext uri="{FF2B5EF4-FFF2-40B4-BE49-F238E27FC236}">
                  <a16:creationId xmlns:a16="http://schemas.microsoft.com/office/drawing/2014/main" id="{00000000-0008-0000-0600-00000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9" name="Text Box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" name="Text Box 11">
              <a:extLst>
                <a:ext uri="{FF2B5EF4-FFF2-40B4-BE49-F238E27FC236}">
                  <a16:creationId xmlns:a16="http://schemas.microsoft.com/office/drawing/2014/main" id="{00000000-0008-0000-0600-00000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" name="Text Box 12">
              <a:extLst>
                <a:ext uri="{FF2B5EF4-FFF2-40B4-BE49-F238E27FC236}">
                  <a16:creationId xmlns:a16="http://schemas.microsoft.com/office/drawing/2014/main" id="{00000000-0008-0000-06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15" name="Text 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6" name="Text 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8" name="Text Box 17">
              <a:extLst>
                <a:ext uri="{FF2B5EF4-FFF2-40B4-BE49-F238E27FC236}">
                  <a16:creationId xmlns:a16="http://schemas.microsoft.com/office/drawing/2014/main" id="{00000000-0008-0000-0600-00001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9" name="Text Box 18">
              <a:extLst>
                <a:ext uri="{FF2B5EF4-FFF2-40B4-BE49-F238E27FC236}">
                  <a16:creationId xmlns:a16="http://schemas.microsoft.com/office/drawing/2014/main" id="{00000000-0008-0000-0600-00001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44" name="Group 61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45" name="Text Box 62">
            <a:extLst>
              <a:ext uri="{FF2B5EF4-FFF2-40B4-BE49-F238E27FC236}">
                <a16:creationId xmlns:a16="http://schemas.microsoft.com/office/drawing/2014/main" id="{00000000-0008-0000-0600-00002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46" name="Text Box 63">
            <a:extLst>
              <a:ext uri="{FF2B5EF4-FFF2-40B4-BE49-F238E27FC236}">
                <a16:creationId xmlns:a16="http://schemas.microsoft.com/office/drawing/2014/main" id="{00000000-0008-0000-0600-00002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47" name="Group 64">
            <a:extLst>
              <a:ext uri="{FF2B5EF4-FFF2-40B4-BE49-F238E27FC236}">
                <a16:creationId xmlns:a16="http://schemas.microsoft.com/office/drawing/2014/main" id="{00000000-0008-0000-0600-00002F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48" name="Text Box 65">
              <a:extLst>
                <a:ext uri="{FF2B5EF4-FFF2-40B4-BE49-F238E27FC236}">
                  <a16:creationId xmlns:a16="http://schemas.microsoft.com/office/drawing/2014/main" id="{00000000-0008-0000-0600-00003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49" name="Text Box 66">
              <a:extLst>
                <a:ext uri="{FF2B5EF4-FFF2-40B4-BE49-F238E27FC236}">
                  <a16:creationId xmlns:a16="http://schemas.microsoft.com/office/drawing/2014/main" id="{00000000-0008-0000-0600-00003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50" name="Group 67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51" name="Text Box 68">
            <a:extLst>
              <a:ext uri="{FF2B5EF4-FFF2-40B4-BE49-F238E27FC236}">
                <a16:creationId xmlns:a16="http://schemas.microsoft.com/office/drawing/2014/main" id="{00000000-0008-0000-0600-00003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52" name="Text Box 69">
            <a:extLst>
              <a:ext uri="{FF2B5EF4-FFF2-40B4-BE49-F238E27FC236}">
                <a16:creationId xmlns:a16="http://schemas.microsoft.com/office/drawing/2014/main" id="{00000000-0008-0000-0600-00003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53" name="Group 70">
            <a:extLst>
              <a:ext uri="{FF2B5EF4-FFF2-40B4-BE49-F238E27FC236}">
                <a16:creationId xmlns:a16="http://schemas.microsoft.com/office/drawing/2014/main" id="{00000000-0008-0000-0600-000035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54" name="Text Box 71">
              <a:extLst>
                <a:ext uri="{FF2B5EF4-FFF2-40B4-BE49-F238E27FC236}">
                  <a16:creationId xmlns:a16="http://schemas.microsoft.com/office/drawing/2014/main" id="{00000000-0008-0000-0600-00003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55" name="Text Box 72">
              <a:extLst>
                <a:ext uri="{FF2B5EF4-FFF2-40B4-BE49-F238E27FC236}">
                  <a16:creationId xmlns:a16="http://schemas.microsoft.com/office/drawing/2014/main" id="{00000000-0008-0000-0600-00003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56" name="Group 73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57" name="Text Box 74">
            <a:extLst>
              <a:ext uri="{FF2B5EF4-FFF2-40B4-BE49-F238E27FC236}">
                <a16:creationId xmlns:a16="http://schemas.microsoft.com/office/drawing/2014/main" id="{00000000-0008-0000-0600-00003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58" name="Text Box 75">
            <a:extLst>
              <a:ext uri="{FF2B5EF4-FFF2-40B4-BE49-F238E27FC236}">
                <a16:creationId xmlns:a16="http://schemas.microsoft.com/office/drawing/2014/main" id="{00000000-0008-0000-0600-00003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59" name="Group 76">
            <a:extLst>
              <a:ext uri="{FF2B5EF4-FFF2-40B4-BE49-F238E27FC236}">
                <a16:creationId xmlns:a16="http://schemas.microsoft.com/office/drawing/2014/main" id="{00000000-0008-0000-0600-00003B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60" name="Text Box 77">
              <a:extLst>
                <a:ext uri="{FF2B5EF4-FFF2-40B4-BE49-F238E27FC236}">
                  <a16:creationId xmlns:a16="http://schemas.microsoft.com/office/drawing/2014/main" id="{00000000-0008-0000-0600-00003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61" name="Text Box 78">
              <a:extLst>
                <a:ext uri="{FF2B5EF4-FFF2-40B4-BE49-F238E27FC236}">
                  <a16:creationId xmlns:a16="http://schemas.microsoft.com/office/drawing/2014/main" id="{00000000-0008-0000-0600-00003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62" name="Group 79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63" name="Text Box 80">
            <a:extLst>
              <a:ext uri="{FF2B5EF4-FFF2-40B4-BE49-F238E27FC236}">
                <a16:creationId xmlns:a16="http://schemas.microsoft.com/office/drawing/2014/main" id="{00000000-0008-0000-0600-00003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64" name="Text Box 81">
            <a:extLst>
              <a:ext uri="{FF2B5EF4-FFF2-40B4-BE49-F238E27FC236}">
                <a16:creationId xmlns:a16="http://schemas.microsoft.com/office/drawing/2014/main" id="{00000000-0008-0000-0600-00004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65" name="Group 82">
            <a:extLst>
              <a:ext uri="{FF2B5EF4-FFF2-40B4-BE49-F238E27FC236}">
                <a16:creationId xmlns:a16="http://schemas.microsoft.com/office/drawing/2014/main" id="{00000000-0008-0000-0600-000041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66" name="Text Box 83">
              <a:extLst>
                <a:ext uri="{FF2B5EF4-FFF2-40B4-BE49-F238E27FC236}">
                  <a16:creationId xmlns:a16="http://schemas.microsoft.com/office/drawing/2014/main" id="{00000000-0008-0000-0600-00004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67" name="Text Box 84">
              <a:extLst>
                <a:ext uri="{FF2B5EF4-FFF2-40B4-BE49-F238E27FC236}">
                  <a16:creationId xmlns:a16="http://schemas.microsoft.com/office/drawing/2014/main" id="{00000000-0008-0000-0600-00004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68" name="Group 85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69" name="Text Box 86">
            <a:extLst>
              <a:ext uri="{FF2B5EF4-FFF2-40B4-BE49-F238E27FC236}">
                <a16:creationId xmlns:a16="http://schemas.microsoft.com/office/drawing/2014/main" id="{00000000-0008-0000-0600-00004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70" name="Text Box 87">
            <a:extLst>
              <a:ext uri="{FF2B5EF4-FFF2-40B4-BE49-F238E27FC236}">
                <a16:creationId xmlns:a16="http://schemas.microsoft.com/office/drawing/2014/main" id="{00000000-0008-0000-0600-00004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71" name="Group 88">
            <a:extLst>
              <a:ext uri="{FF2B5EF4-FFF2-40B4-BE49-F238E27FC236}">
                <a16:creationId xmlns:a16="http://schemas.microsoft.com/office/drawing/2014/main" id="{00000000-0008-0000-0600-000047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72" name="Text Box 89">
              <a:extLst>
                <a:ext uri="{FF2B5EF4-FFF2-40B4-BE49-F238E27FC236}">
                  <a16:creationId xmlns:a16="http://schemas.microsoft.com/office/drawing/2014/main" id="{00000000-0008-0000-0600-00004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3" name="Text Box 90">
              <a:extLst>
                <a:ext uri="{FF2B5EF4-FFF2-40B4-BE49-F238E27FC236}">
                  <a16:creationId xmlns:a16="http://schemas.microsoft.com/office/drawing/2014/main" id="{00000000-0008-0000-0600-00004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74" name="Group 91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75" name="Text Box 92">
            <a:extLst>
              <a:ext uri="{FF2B5EF4-FFF2-40B4-BE49-F238E27FC236}">
                <a16:creationId xmlns:a16="http://schemas.microsoft.com/office/drawing/2014/main" id="{00000000-0008-0000-0600-00004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76" name="Text Box 93">
            <a:extLst>
              <a:ext uri="{FF2B5EF4-FFF2-40B4-BE49-F238E27FC236}">
                <a16:creationId xmlns:a16="http://schemas.microsoft.com/office/drawing/2014/main" id="{00000000-0008-0000-0600-00004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77" name="Group 94">
            <a:extLst>
              <a:ext uri="{FF2B5EF4-FFF2-40B4-BE49-F238E27FC236}">
                <a16:creationId xmlns:a16="http://schemas.microsoft.com/office/drawing/2014/main" id="{00000000-0008-0000-0600-00004D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78" name="Text Box 95">
              <a:extLst>
                <a:ext uri="{FF2B5EF4-FFF2-40B4-BE49-F238E27FC236}">
                  <a16:creationId xmlns:a16="http://schemas.microsoft.com/office/drawing/2014/main" id="{00000000-0008-0000-0600-00004E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9" name="Text Box 96">
              <a:extLst>
                <a:ext uri="{FF2B5EF4-FFF2-40B4-BE49-F238E27FC236}">
                  <a16:creationId xmlns:a16="http://schemas.microsoft.com/office/drawing/2014/main" id="{00000000-0008-0000-0600-00004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80" name="Group 61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81" name="Text Box 62">
            <a:extLst>
              <a:ext uri="{FF2B5EF4-FFF2-40B4-BE49-F238E27FC236}">
                <a16:creationId xmlns:a16="http://schemas.microsoft.com/office/drawing/2014/main" id="{00000000-0008-0000-0600-00005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2" name="Text Box 63">
            <a:extLst>
              <a:ext uri="{FF2B5EF4-FFF2-40B4-BE49-F238E27FC236}">
                <a16:creationId xmlns:a16="http://schemas.microsoft.com/office/drawing/2014/main" id="{00000000-0008-0000-0600-00005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3" name="Group 64">
            <a:extLst>
              <a:ext uri="{FF2B5EF4-FFF2-40B4-BE49-F238E27FC236}">
                <a16:creationId xmlns:a16="http://schemas.microsoft.com/office/drawing/2014/main" id="{00000000-0008-0000-0600-000053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84" name="Text Box 65">
              <a:extLst>
                <a:ext uri="{FF2B5EF4-FFF2-40B4-BE49-F238E27FC236}">
                  <a16:creationId xmlns:a16="http://schemas.microsoft.com/office/drawing/2014/main" id="{00000000-0008-0000-0600-00005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85" name="Text Box 66">
              <a:extLst>
                <a:ext uri="{FF2B5EF4-FFF2-40B4-BE49-F238E27FC236}">
                  <a16:creationId xmlns:a16="http://schemas.microsoft.com/office/drawing/2014/main" id="{00000000-0008-0000-0600-00005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86" name="Group 67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87" name="Text Box 68">
            <a:extLst>
              <a:ext uri="{FF2B5EF4-FFF2-40B4-BE49-F238E27FC236}">
                <a16:creationId xmlns:a16="http://schemas.microsoft.com/office/drawing/2014/main" id="{00000000-0008-0000-0600-00005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8" name="Text Box 69">
            <a:extLst>
              <a:ext uri="{FF2B5EF4-FFF2-40B4-BE49-F238E27FC236}">
                <a16:creationId xmlns:a16="http://schemas.microsoft.com/office/drawing/2014/main" id="{00000000-0008-0000-0600-00005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9" name="Group 70">
            <a:extLst>
              <a:ext uri="{FF2B5EF4-FFF2-40B4-BE49-F238E27FC236}">
                <a16:creationId xmlns:a16="http://schemas.microsoft.com/office/drawing/2014/main" id="{00000000-0008-0000-0600-000059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0" name="Text Box 71">
              <a:extLst>
                <a:ext uri="{FF2B5EF4-FFF2-40B4-BE49-F238E27FC236}">
                  <a16:creationId xmlns:a16="http://schemas.microsoft.com/office/drawing/2014/main" id="{00000000-0008-0000-0600-00005A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1" name="Text Box 72">
              <a:extLst>
                <a:ext uri="{FF2B5EF4-FFF2-40B4-BE49-F238E27FC236}">
                  <a16:creationId xmlns:a16="http://schemas.microsoft.com/office/drawing/2014/main" id="{00000000-0008-0000-0600-00005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92" name="Group 73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93" name="Text Box 74">
            <a:extLst>
              <a:ext uri="{FF2B5EF4-FFF2-40B4-BE49-F238E27FC236}">
                <a16:creationId xmlns:a16="http://schemas.microsoft.com/office/drawing/2014/main" id="{00000000-0008-0000-0600-00005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94" name="Text Box 75">
            <a:extLst>
              <a:ext uri="{FF2B5EF4-FFF2-40B4-BE49-F238E27FC236}">
                <a16:creationId xmlns:a16="http://schemas.microsoft.com/office/drawing/2014/main" id="{00000000-0008-0000-0600-00005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95" name="Group 76">
            <a:extLst>
              <a:ext uri="{FF2B5EF4-FFF2-40B4-BE49-F238E27FC236}">
                <a16:creationId xmlns:a16="http://schemas.microsoft.com/office/drawing/2014/main" id="{00000000-0008-0000-0600-00005F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6" name="Text Box 77">
              <a:extLst>
                <a:ext uri="{FF2B5EF4-FFF2-40B4-BE49-F238E27FC236}">
                  <a16:creationId xmlns:a16="http://schemas.microsoft.com/office/drawing/2014/main" id="{00000000-0008-0000-0600-00006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7" name="Text Box 78">
              <a:extLst>
                <a:ext uri="{FF2B5EF4-FFF2-40B4-BE49-F238E27FC236}">
                  <a16:creationId xmlns:a16="http://schemas.microsoft.com/office/drawing/2014/main" id="{00000000-0008-0000-0600-00006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98" name="Group 79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99" name="Text Box 80">
            <a:extLst>
              <a:ext uri="{FF2B5EF4-FFF2-40B4-BE49-F238E27FC236}">
                <a16:creationId xmlns:a16="http://schemas.microsoft.com/office/drawing/2014/main" id="{00000000-0008-0000-0600-00006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0" name="Text Box 81">
            <a:extLst>
              <a:ext uri="{FF2B5EF4-FFF2-40B4-BE49-F238E27FC236}">
                <a16:creationId xmlns:a16="http://schemas.microsoft.com/office/drawing/2014/main" id="{00000000-0008-0000-0600-00006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1" name="Group 82">
            <a:extLst>
              <a:ext uri="{FF2B5EF4-FFF2-40B4-BE49-F238E27FC236}">
                <a16:creationId xmlns:a16="http://schemas.microsoft.com/office/drawing/2014/main" id="{00000000-0008-0000-0600-000065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2" name="Text Box 83">
              <a:extLst>
                <a:ext uri="{FF2B5EF4-FFF2-40B4-BE49-F238E27FC236}">
                  <a16:creationId xmlns:a16="http://schemas.microsoft.com/office/drawing/2014/main" id="{00000000-0008-0000-0600-00006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3" name="Text Box 84">
              <a:extLst>
                <a:ext uri="{FF2B5EF4-FFF2-40B4-BE49-F238E27FC236}">
                  <a16:creationId xmlns:a16="http://schemas.microsoft.com/office/drawing/2014/main" id="{00000000-0008-0000-0600-00006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04" name="Group 85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05" name="Text Box 86">
            <a:extLst>
              <a:ext uri="{FF2B5EF4-FFF2-40B4-BE49-F238E27FC236}">
                <a16:creationId xmlns:a16="http://schemas.microsoft.com/office/drawing/2014/main" id="{00000000-0008-0000-0600-00006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6" name="Text Box 87">
            <a:extLst>
              <a:ext uri="{FF2B5EF4-FFF2-40B4-BE49-F238E27FC236}">
                <a16:creationId xmlns:a16="http://schemas.microsoft.com/office/drawing/2014/main" id="{00000000-0008-0000-0600-00006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7" name="Group 88">
            <a:extLst>
              <a:ext uri="{FF2B5EF4-FFF2-40B4-BE49-F238E27FC236}">
                <a16:creationId xmlns:a16="http://schemas.microsoft.com/office/drawing/2014/main" id="{00000000-0008-0000-0600-00006B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8" name="Text Box 89">
              <a:extLst>
                <a:ext uri="{FF2B5EF4-FFF2-40B4-BE49-F238E27FC236}">
                  <a16:creationId xmlns:a16="http://schemas.microsoft.com/office/drawing/2014/main" id="{00000000-0008-0000-0600-00006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9" name="Text Box 90">
              <a:extLst>
                <a:ext uri="{FF2B5EF4-FFF2-40B4-BE49-F238E27FC236}">
                  <a16:creationId xmlns:a16="http://schemas.microsoft.com/office/drawing/2014/main" id="{00000000-0008-0000-0600-00006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10" name="Group 91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11" name="Text Box 92">
            <a:extLst>
              <a:ext uri="{FF2B5EF4-FFF2-40B4-BE49-F238E27FC236}">
                <a16:creationId xmlns:a16="http://schemas.microsoft.com/office/drawing/2014/main" id="{00000000-0008-0000-0600-00006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2" name="Text Box 93">
            <a:extLst>
              <a:ext uri="{FF2B5EF4-FFF2-40B4-BE49-F238E27FC236}">
                <a16:creationId xmlns:a16="http://schemas.microsoft.com/office/drawing/2014/main" id="{00000000-0008-0000-0600-00007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3" name="Group 94">
            <a:extLst>
              <a:ext uri="{FF2B5EF4-FFF2-40B4-BE49-F238E27FC236}">
                <a16:creationId xmlns:a16="http://schemas.microsoft.com/office/drawing/2014/main" id="{00000000-0008-0000-0600-000071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14" name="Text Box 95">
              <a:extLst>
                <a:ext uri="{FF2B5EF4-FFF2-40B4-BE49-F238E27FC236}">
                  <a16:creationId xmlns:a16="http://schemas.microsoft.com/office/drawing/2014/main" id="{00000000-0008-0000-0600-00007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15" name="Text Box 96">
              <a:extLst>
                <a:ext uri="{FF2B5EF4-FFF2-40B4-BE49-F238E27FC236}">
                  <a16:creationId xmlns:a16="http://schemas.microsoft.com/office/drawing/2014/main" id="{00000000-0008-0000-0600-00007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16" name="Group 1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117" name="Text Box 2">
            <a:extLst>
              <a:ext uri="{FF2B5EF4-FFF2-40B4-BE49-F238E27FC236}">
                <a16:creationId xmlns:a16="http://schemas.microsoft.com/office/drawing/2014/main" id="{00000000-0008-0000-0600-00007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8" name="Text Box 3">
            <a:extLst>
              <a:ext uri="{FF2B5EF4-FFF2-40B4-BE49-F238E27FC236}">
                <a16:creationId xmlns:a16="http://schemas.microsoft.com/office/drawing/2014/main" id="{00000000-0008-0000-0600-00007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9" name="Group 4">
            <a:extLst>
              <a:ext uri="{FF2B5EF4-FFF2-40B4-BE49-F238E27FC236}">
                <a16:creationId xmlns:a16="http://schemas.microsoft.com/office/drawing/2014/main" id="{00000000-0008-0000-0600-000077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0" name="Text Box 5">
              <a:extLst>
                <a:ext uri="{FF2B5EF4-FFF2-40B4-BE49-F238E27FC236}">
                  <a16:creationId xmlns:a16="http://schemas.microsoft.com/office/drawing/2014/main" id="{00000000-0008-0000-0600-00007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21" name="Text Box 6">
              <a:extLst>
                <a:ext uri="{FF2B5EF4-FFF2-40B4-BE49-F238E27FC236}">
                  <a16:creationId xmlns:a16="http://schemas.microsoft.com/office/drawing/2014/main" id="{00000000-0008-0000-0600-00007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22" name="Group 7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123" name="Text Box 8">
            <a:extLst>
              <a:ext uri="{FF2B5EF4-FFF2-40B4-BE49-F238E27FC236}">
                <a16:creationId xmlns:a16="http://schemas.microsoft.com/office/drawing/2014/main" id="{00000000-0008-0000-0600-00007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24" name="Text Box 9">
            <a:extLst>
              <a:ext uri="{FF2B5EF4-FFF2-40B4-BE49-F238E27FC236}">
                <a16:creationId xmlns:a16="http://schemas.microsoft.com/office/drawing/2014/main" id="{00000000-0008-0000-0600-00007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25" name="Group 10">
            <a:extLst>
              <a:ext uri="{FF2B5EF4-FFF2-40B4-BE49-F238E27FC236}">
                <a16:creationId xmlns:a16="http://schemas.microsoft.com/office/drawing/2014/main" id="{00000000-0008-0000-0600-00007D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6" name="Text Box 11">
              <a:extLst>
                <a:ext uri="{FF2B5EF4-FFF2-40B4-BE49-F238E27FC236}">
                  <a16:creationId xmlns:a16="http://schemas.microsoft.com/office/drawing/2014/main" id="{00000000-0008-0000-0600-00007E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27" name="Text Box 12">
              <a:extLst>
                <a:ext uri="{FF2B5EF4-FFF2-40B4-BE49-F238E27FC236}">
                  <a16:creationId xmlns:a16="http://schemas.microsoft.com/office/drawing/2014/main" id="{00000000-0008-0000-0600-00007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28" name="Group 13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129" name="Text Box 14">
            <a:extLst>
              <a:ext uri="{FF2B5EF4-FFF2-40B4-BE49-F238E27FC236}">
                <a16:creationId xmlns:a16="http://schemas.microsoft.com/office/drawing/2014/main" id="{00000000-0008-0000-0600-00008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30" name="Text Box 15">
            <a:extLst>
              <a:ext uri="{FF2B5EF4-FFF2-40B4-BE49-F238E27FC236}">
                <a16:creationId xmlns:a16="http://schemas.microsoft.com/office/drawing/2014/main" id="{00000000-0008-0000-0600-00008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31" name="Group 16">
            <a:extLst>
              <a:ext uri="{FF2B5EF4-FFF2-40B4-BE49-F238E27FC236}">
                <a16:creationId xmlns:a16="http://schemas.microsoft.com/office/drawing/2014/main" id="{00000000-0008-0000-0600-000083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32" name="Text Box 17">
              <a:extLst>
                <a:ext uri="{FF2B5EF4-FFF2-40B4-BE49-F238E27FC236}">
                  <a16:creationId xmlns:a16="http://schemas.microsoft.com/office/drawing/2014/main" id="{00000000-0008-0000-0600-00008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3" name="Text Box 18">
              <a:extLst>
                <a:ext uri="{FF2B5EF4-FFF2-40B4-BE49-F238E27FC236}">
                  <a16:creationId xmlns:a16="http://schemas.microsoft.com/office/drawing/2014/main" id="{00000000-0008-0000-0600-00008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34" name="Group 61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35" name="Text Box 62">
            <a:extLst>
              <a:ext uri="{FF2B5EF4-FFF2-40B4-BE49-F238E27FC236}">
                <a16:creationId xmlns:a16="http://schemas.microsoft.com/office/drawing/2014/main" id="{00000000-0008-0000-0600-00008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36" name="Text Box 63">
            <a:extLst>
              <a:ext uri="{FF2B5EF4-FFF2-40B4-BE49-F238E27FC236}">
                <a16:creationId xmlns:a16="http://schemas.microsoft.com/office/drawing/2014/main" id="{00000000-0008-0000-0600-00008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37" name="Group 64">
            <a:extLst>
              <a:ext uri="{FF2B5EF4-FFF2-40B4-BE49-F238E27FC236}">
                <a16:creationId xmlns:a16="http://schemas.microsoft.com/office/drawing/2014/main" id="{00000000-0008-0000-0600-000089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38" name="Text Box 65">
              <a:extLst>
                <a:ext uri="{FF2B5EF4-FFF2-40B4-BE49-F238E27FC236}">
                  <a16:creationId xmlns:a16="http://schemas.microsoft.com/office/drawing/2014/main" id="{00000000-0008-0000-0600-00008A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9" name="Text Box 66">
              <a:extLst>
                <a:ext uri="{FF2B5EF4-FFF2-40B4-BE49-F238E27FC236}">
                  <a16:creationId xmlns:a16="http://schemas.microsoft.com/office/drawing/2014/main" id="{00000000-0008-0000-0600-00008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40" name="Group 67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41" name="Text Box 68">
            <a:extLst>
              <a:ext uri="{FF2B5EF4-FFF2-40B4-BE49-F238E27FC236}">
                <a16:creationId xmlns:a16="http://schemas.microsoft.com/office/drawing/2014/main" id="{00000000-0008-0000-0600-00008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42" name="Text Box 69">
            <a:extLst>
              <a:ext uri="{FF2B5EF4-FFF2-40B4-BE49-F238E27FC236}">
                <a16:creationId xmlns:a16="http://schemas.microsoft.com/office/drawing/2014/main" id="{00000000-0008-0000-0600-00008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43" name="Group 70">
            <a:extLst>
              <a:ext uri="{FF2B5EF4-FFF2-40B4-BE49-F238E27FC236}">
                <a16:creationId xmlns:a16="http://schemas.microsoft.com/office/drawing/2014/main" id="{00000000-0008-0000-0600-00008F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44" name="Text Box 71">
              <a:extLst>
                <a:ext uri="{FF2B5EF4-FFF2-40B4-BE49-F238E27FC236}">
                  <a16:creationId xmlns:a16="http://schemas.microsoft.com/office/drawing/2014/main" id="{00000000-0008-0000-0600-00009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45" name="Text Box 72">
              <a:extLst>
                <a:ext uri="{FF2B5EF4-FFF2-40B4-BE49-F238E27FC236}">
                  <a16:creationId xmlns:a16="http://schemas.microsoft.com/office/drawing/2014/main" id="{00000000-0008-0000-0600-00009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46" name="Group 73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47" name="Text Box 74">
            <a:extLst>
              <a:ext uri="{FF2B5EF4-FFF2-40B4-BE49-F238E27FC236}">
                <a16:creationId xmlns:a16="http://schemas.microsoft.com/office/drawing/2014/main" id="{00000000-0008-0000-0600-00009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48" name="Text Box 75">
            <a:extLst>
              <a:ext uri="{FF2B5EF4-FFF2-40B4-BE49-F238E27FC236}">
                <a16:creationId xmlns:a16="http://schemas.microsoft.com/office/drawing/2014/main" id="{00000000-0008-0000-0600-00009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49" name="Group 76">
            <a:extLst>
              <a:ext uri="{FF2B5EF4-FFF2-40B4-BE49-F238E27FC236}">
                <a16:creationId xmlns:a16="http://schemas.microsoft.com/office/drawing/2014/main" id="{00000000-0008-0000-0600-000095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50" name="Text Box 77">
              <a:extLst>
                <a:ext uri="{FF2B5EF4-FFF2-40B4-BE49-F238E27FC236}">
                  <a16:creationId xmlns:a16="http://schemas.microsoft.com/office/drawing/2014/main" id="{00000000-0008-0000-0600-00009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51" name="Text Box 78">
              <a:extLst>
                <a:ext uri="{FF2B5EF4-FFF2-40B4-BE49-F238E27FC236}">
                  <a16:creationId xmlns:a16="http://schemas.microsoft.com/office/drawing/2014/main" id="{00000000-0008-0000-0600-00009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52" name="Group 79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53" name="Text Box 80">
            <a:extLst>
              <a:ext uri="{FF2B5EF4-FFF2-40B4-BE49-F238E27FC236}">
                <a16:creationId xmlns:a16="http://schemas.microsoft.com/office/drawing/2014/main" id="{00000000-0008-0000-0600-00009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54" name="Text Box 81">
            <a:extLst>
              <a:ext uri="{FF2B5EF4-FFF2-40B4-BE49-F238E27FC236}">
                <a16:creationId xmlns:a16="http://schemas.microsoft.com/office/drawing/2014/main" id="{00000000-0008-0000-0600-00009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55" name="Group 82">
            <a:extLst>
              <a:ext uri="{FF2B5EF4-FFF2-40B4-BE49-F238E27FC236}">
                <a16:creationId xmlns:a16="http://schemas.microsoft.com/office/drawing/2014/main" id="{00000000-0008-0000-0600-00009B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56" name="Text Box 83">
              <a:extLst>
                <a:ext uri="{FF2B5EF4-FFF2-40B4-BE49-F238E27FC236}">
                  <a16:creationId xmlns:a16="http://schemas.microsoft.com/office/drawing/2014/main" id="{00000000-0008-0000-0600-00009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57" name="Text Box 84">
              <a:extLst>
                <a:ext uri="{FF2B5EF4-FFF2-40B4-BE49-F238E27FC236}">
                  <a16:creationId xmlns:a16="http://schemas.microsoft.com/office/drawing/2014/main" id="{00000000-0008-0000-0600-00009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58" name="Group 85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59" name="Text Box 86">
            <a:extLst>
              <a:ext uri="{FF2B5EF4-FFF2-40B4-BE49-F238E27FC236}">
                <a16:creationId xmlns:a16="http://schemas.microsoft.com/office/drawing/2014/main" id="{00000000-0008-0000-0600-00009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60" name="Text Box 87">
            <a:extLst>
              <a:ext uri="{FF2B5EF4-FFF2-40B4-BE49-F238E27FC236}">
                <a16:creationId xmlns:a16="http://schemas.microsoft.com/office/drawing/2014/main" id="{00000000-0008-0000-0600-0000A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61" name="Group 88">
            <a:extLst>
              <a:ext uri="{FF2B5EF4-FFF2-40B4-BE49-F238E27FC236}">
                <a16:creationId xmlns:a16="http://schemas.microsoft.com/office/drawing/2014/main" id="{00000000-0008-0000-0600-0000A1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62" name="Text Box 89">
              <a:extLst>
                <a:ext uri="{FF2B5EF4-FFF2-40B4-BE49-F238E27FC236}">
                  <a16:creationId xmlns:a16="http://schemas.microsoft.com/office/drawing/2014/main" id="{00000000-0008-0000-0600-0000A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63" name="Text Box 90">
              <a:extLst>
                <a:ext uri="{FF2B5EF4-FFF2-40B4-BE49-F238E27FC236}">
                  <a16:creationId xmlns:a16="http://schemas.microsoft.com/office/drawing/2014/main" id="{00000000-0008-0000-0600-0000A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64" name="Group 91"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65" name="Text Box 92">
            <a:extLst>
              <a:ext uri="{FF2B5EF4-FFF2-40B4-BE49-F238E27FC236}">
                <a16:creationId xmlns:a16="http://schemas.microsoft.com/office/drawing/2014/main" id="{00000000-0008-0000-0600-0000A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66" name="Text Box 93">
            <a:extLst>
              <a:ext uri="{FF2B5EF4-FFF2-40B4-BE49-F238E27FC236}">
                <a16:creationId xmlns:a16="http://schemas.microsoft.com/office/drawing/2014/main" id="{00000000-0008-0000-0600-0000A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67" name="Group 94">
            <a:extLst>
              <a:ext uri="{FF2B5EF4-FFF2-40B4-BE49-F238E27FC236}">
                <a16:creationId xmlns:a16="http://schemas.microsoft.com/office/drawing/2014/main" id="{00000000-0008-0000-0600-0000A7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68" name="Text Box 95">
              <a:extLst>
                <a:ext uri="{FF2B5EF4-FFF2-40B4-BE49-F238E27FC236}">
                  <a16:creationId xmlns:a16="http://schemas.microsoft.com/office/drawing/2014/main" id="{00000000-0008-0000-0600-0000A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69" name="Text Box 96">
              <a:extLst>
                <a:ext uri="{FF2B5EF4-FFF2-40B4-BE49-F238E27FC236}">
                  <a16:creationId xmlns:a16="http://schemas.microsoft.com/office/drawing/2014/main" id="{00000000-0008-0000-0600-0000A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70" name="Group 61"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71" name="Text Box 62">
            <a:extLst>
              <a:ext uri="{FF2B5EF4-FFF2-40B4-BE49-F238E27FC236}">
                <a16:creationId xmlns:a16="http://schemas.microsoft.com/office/drawing/2014/main" id="{00000000-0008-0000-0600-0000A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72" name="Text Box 63">
            <a:extLst>
              <a:ext uri="{FF2B5EF4-FFF2-40B4-BE49-F238E27FC236}">
                <a16:creationId xmlns:a16="http://schemas.microsoft.com/office/drawing/2014/main" id="{00000000-0008-0000-0600-0000A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73" name="Group 64">
            <a:extLst>
              <a:ext uri="{FF2B5EF4-FFF2-40B4-BE49-F238E27FC236}">
                <a16:creationId xmlns:a16="http://schemas.microsoft.com/office/drawing/2014/main" id="{00000000-0008-0000-0600-0000AD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74" name="Text Box 65">
              <a:extLst>
                <a:ext uri="{FF2B5EF4-FFF2-40B4-BE49-F238E27FC236}">
                  <a16:creationId xmlns:a16="http://schemas.microsoft.com/office/drawing/2014/main" id="{00000000-0008-0000-0600-0000AE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75" name="Text Box 66">
              <a:extLst>
                <a:ext uri="{FF2B5EF4-FFF2-40B4-BE49-F238E27FC236}">
                  <a16:creationId xmlns:a16="http://schemas.microsoft.com/office/drawing/2014/main" id="{00000000-0008-0000-0600-0000A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76" name="Group 67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77" name="Text Box 68">
            <a:extLst>
              <a:ext uri="{FF2B5EF4-FFF2-40B4-BE49-F238E27FC236}">
                <a16:creationId xmlns:a16="http://schemas.microsoft.com/office/drawing/2014/main" id="{00000000-0008-0000-0600-0000B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78" name="Text Box 69">
            <a:extLst>
              <a:ext uri="{FF2B5EF4-FFF2-40B4-BE49-F238E27FC236}">
                <a16:creationId xmlns:a16="http://schemas.microsoft.com/office/drawing/2014/main" id="{00000000-0008-0000-0600-0000B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79" name="Group 70">
            <a:extLst>
              <a:ext uri="{FF2B5EF4-FFF2-40B4-BE49-F238E27FC236}">
                <a16:creationId xmlns:a16="http://schemas.microsoft.com/office/drawing/2014/main" id="{00000000-0008-0000-0600-0000B3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80" name="Text Box 71">
              <a:extLst>
                <a:ext uri="{FF2B5EF4-FFF2-40B4-BE49-F238E27FC236}">
                  <a16:creationId xmlns:a16="http://schemas.microsoft.com/office/drawing/2014/main" id="{00000000-0008-0000-0600-0000B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81" name="Text Box 72">
              <a:extLst>
                <a:ext uri="{FF2B5EF4-FFF2-40B4-BE49-F238E27FC236}">
                  <a16:creationId xmlns:a16="http://schemas.microsoft.com/office/drawing/2014/main" id="{00000000-0008-0000-0600-0000B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82" name="Group 73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83" name="Text Box 74">
            <a:extLst>
              <a:ext uri="{FF2B5EF4-FFF2-40B4-BE49-F238E27FC236}">
                <a16:creationId xmlns:a16="http://schemas.microsoft.com/office/drawing/2014/main" id="{00000000-0008-0000-0600-0000B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84" name="Text Box 75">
            <a:extLst>
              <a:ext uri="{FF2B5EF4-FFF2-40B4-BE49-F238E27FC236}">
                <a16:creationId xmlns:a16="http://schemas.microsoft.com/office/drawing/2014/main" id="{00000000-0008-0000-0600-0000B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85" name="Group 76">
            <a:extLst>
              <a:ext uri="{FF2B5EF4-FFF2-40B4-BE49-F238E27FC236}">
                <a16:creationId xmlns:a16="http://schemas.microsoft.com/office/drawing/2014/main" id="{00000000-0008-0000-0600-0000B9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86" name="Text Box 77">
              <a:extLst>
                <a:ext uri="{FF2B5EF4-FFF2-40B4-BE49-F238E27FC236}">
                  <a16:creationId xmlns:a16="http://schemas.microsoft.com/office/drawing/2014/main" id="{00000000-0008-0000-0600-0000BA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87" name="Text Box 78">
              <a:extLst>
                <a:ext uri="{FF2B5EF4-FFF2-40B4-BE49-F238E27FC236}">
                  <a16:creationId xmlns:a16="http://schemas.microsoft.com/office/drawing/2014/main" id="{00000000-0008-0000-0600-0000B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88" name="Group 79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89" name="Text Box 80">
            <a:extLst>
              <a:ext uri="{FF2B5EF4-FFF2-40B4-BE49-F238E27FC236}">
                <a16:creationId xmlns:a16="http://schemas.microsoft.com/office/drawing/2014/main" id="{00000000-0008-0000-0600-0000B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90" name="Text Box 81">
            <a:extLst>
              <a:ext uri="{FF2B5EF4-FFF2-40B4-BE49-F238E27FC236}">
                <a16:creationId xmlns:a16="http://schemas.microsoft.com/office/drawing/2014/main" id="{00000000-0008-0000-0600-0000B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91" name="Group 82">
            <a:extLst>
              <a:ext uri="{FF2B5EF4-FFF2-40B4-BE49-F238E27FC236}">
                <a16:creationId xmlns:a16="http://schemas.microsoft.com/office/drawing/2014/main" id="{00000000-0008-0000-0600-0000BF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92" name="Text Box 83">
              <a:extLst>
                <a:ext uri="{FF2B5EF4-FFF2-40B4-BE49-F238E27FC236}">
                  <a16:creationId xmlns:a16="http://schemas.microsoft.com/office/drawing/2014/main" id="{00000000-0008-0000-0600-0000C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93" name="Text Box 84">
              <a:extLst>
                <a:ext uri="{FF2B5EF4-FFF2-40B4-BE49-F238E27FC236}">
                  <a16:creationId xmlns:a16="http://schemas.microsoft.com/office/drawing/2014/main" id="{00000000-0008-0000-0600-0000C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94" name="Group 85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95" name="Text Box 86">
            <a:extLst>
              <a:ext uri="{FF2B5EF4-FFF2-40B4-BE49-F238E27FC236}">
                <a16:creationId xmlns:a16="http://schemas.microsoft.com/office/drawing/2014/main" id="{00000000-0008-0000-0600-0000C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96" name="Text Box 87">
            <a:extLst>
              <a:ext uri="{FF2B5EF4-FFF2-40B4-BE49-F238E27FC236}">
                <a16:creationId xmlns:a16="http://schemas.microsoft.com/office/drawing/2014/main" id="{00000000-0008-0000-0600-0000C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97" name="Group 88">
            <a:extLst>
              <a:ext uri="{FF2B5EF4-FFF2-40B4-BE49-F238E27FC236}">
                <a16:creationId xmlns:a16="http://schemas.microsoft.com/office/drawing/2014/main" id="{00000000-0008-0000-0600-0000C5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98" name="Text Box 89">
              <a:extLst>
                <a:ext uri="{FF2B5EF4-FFF2-40B4-BE49-F238E27FC236}">
                  <a16:creationId xmlns:a16="http://schemas.microsoft.com/office/drawing/2014/main" id="{00000000-0008-0000-0600-0000C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99" name="Text Box 90">
              <a:extLst>
                <a:ext uri="{FF2B5EF4-FFF2-40B4-BE49-F238E27FC236}">
                  <a16:creationId xmlns:a16="http://schemas.microsoft.com/office/drawing/2014/main" id="{00000000-0008-0000-0600-0000C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200" name="Group 91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201" name="Text Box 92">
            <a:extLst>
              <a:ext uri="{FF2B5EF4-FFF2-40B4-BE49-F238E27FC236}">
                <a16:creationId xmlns:a16="http://schemas.microsoft.com/office/drawing/2014/main" id="{00000000-0008-0000-0600-0000C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202" name="Text Box 93">
            <a:extLst>
              <a:ext uri="{FF2B5EF4-FFF2-40B4-BE49-F238E27FC236}">
                <a16:creationId xmlns:a16="http://schemas.microsoft.com/office/drawing/2014/main" id="{00000000-0008-0000-0600-0000C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203" name="Group 94">
            <a:extLst>
              <a:ext uri="{FF2B5EF4-FFF2-40B4-BE49-F238E27FC236}">
                <a16:creationId xmlns:a16="http://schemas.microsoft.com/office/drawing/2014/main" id="{00000000-0008-0000-0600-0000CB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204" name="Text Box 95">
              <a:extLst>
                <a:ext uri="{FF2B5EF4-FFF2-40B4-BE49-F238E27FC236}">
                  <a16:creationId xmlns:a16="http://schemas.microsoft.com/office/drawing/2014/main" id="{00000000-0008-0000-0600-0000C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205" name="Text Box 96">
              <a:extLst>
                <a:ext uri="{FF2B5EF4-FFF2-40B4-BE49-F238E27FC236}">
                  <a16:creationId xmlns:a16="http://schemas.microsoft.com/office/drawing/2014/main" id="{00000000-0008-0000-0600-0000C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206" name="Group 1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207" name="Text Box 2">
            <a:extLst>
              <a:ext uri="{FF2B5EF4-FFF2-40B4-BE49-F238E27FC236}">
                <a16:creationId xmlns:a16="http://schemas.microsoft.com/office/drawing/2014/main" id="{00000000-0008-0000-0600-0000C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208" name="Text Box 3">
            <a:extLst>
              <a:ext uri="{FF2B5EF4-FFF2-40B4-BE49-F238E27FC236}">
                <a16:creationId xmlns:a16="http://schemas.microsoft.com/office/drawing/2014/main" id="{00000000-0008-0000-0600-0000D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209" name="Group 4">
            <a:extLst>
              <a:ext uri="{FF2B5EF4-FFF2-40B4-BE49-F238E27FC236}">
                <a16:creationId xmlns:a16="http://schemas.microsoft.com/office/drawing/2014/main" id="{00000000-0008-0000-0600-0000D1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210" name="Text Box 5">
              <a:extLst>
                <a:ext uri="{FF2B5EF4-FFF2-40B4-BE49-F238E27FC236}">
                  <a16:creationId xmlns:a16="http://schemas.microsoft.com/office/drawing/2014/main" id="{00000000-0008-0000-0600-0000D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211" name="Text Box 6">
              <a:extLst>
                <a:ext uri="{FF2B5EF4-FFF2-40B4-BE49-F238E27FC236}">
                  <a16:creationId xmlns:a16="http://schemas.microsoft.com/office/drawing/2014/main" id="{00000000-0008-0000-0600-0000D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212" name="Group 7"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213" name="Text Box 8">
            <a:extLst>
              <a:ext uri="{FF2B5EF4-FFF2-40B4-BE49-F238E27FC236}">
                <a16:creationId xmlns:a16="http://schemas.microsoft.com/office/drawing/2014/main" id="{00000000-0008-0000-0600-0000D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214" name="Text Box 9">
            <a:extLst>
              <a:ext uri="{FF2B5EF4-FFF2-40B4-BE49-F238E27FC236}">
                <a16:creationId xmlns:a16="http://schemas.microsoft.com/office/drawing/2014/main" id="{00000000-0008-0000-0600-0000D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215" name="Group 10">
            <a:extLst>
              <a:ext uri="{FF2B5EF4-FFF2-40B4-BE49-F238E27FC236}">
                <a16:creationId xmlns:a16="http://schemas.microsoft.com/office/drawing/2014/main" id="{00000000-0008-0000-0600-0000D7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216" name="Text Box 11">
              <a:extLst>
                <a:ext uri="{FF2B5EF4-FFF2-40B4-BE49-F238E27FC236}">
                  <a16:creationId xmlns:a16="http://schemas.microsoft.com/office/drawing/2014/main" id="{00000000-0008-0000-0600-0000D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217" name="Text Box 12">
              <a:extLst>
                <a:ext uri="{FF2B5EF4-FFF2-40B4-BE49-F238E27FC236}">
                  <a16:creationId xmlns:a16="http://schemas.microsoft.com/office/drawing/2014/main" id="{00000000-0008-0000-0600-0000D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218" name="Group 13">
          <a:extLst>
            <a:ext uri="{FF2B5EF4-FFF2-40B4-BE49-F238E27FC236}">
              <a16:creationId xmlns:a16="http://schemas.microsoft.com/office/drawing/2014/main" id="{00000000-0008-0000-0600-0000DA00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219" name="Text Box 14">
            <a:extLst>
              <a:ext uri="{FF2B5EF4-FFF2-40B4-BE49-F238E27FC236}">
                <a16:creationId xmlns:a16="http://schemas.microsoft.com/office/drawing/2014/main" id="{00000000-0008-0000-0600-0000D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220" name="Text Box 15">
            <a:extLst>
              <a:ext uri="{FF2B5EF4-FFF2-40B4-BE49-F238E27FC236}">
                <a16:creationId xmlns:a16="http://schemas.microsoft.com/office/drawing/2014/main" id="{00000000-0008-0000-0600-0000D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221" name="Group 16">
            <a:extLst>
              <a:ext uri="{FF2B5EF4-FFF2-40B4-BE49-F238E27FC236}">
                <a16:creationId xmlns:a16="http://schemas.microsoft.com/office/drawing/2014/main" id="{00000000-0008-0000-0600-0000DD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222" name="Text Box 17">
              <a:extLst>
                <a:ext uri="{FF2B5EF4-FFF2-40B4-BE49-F238E27FC236}">
                  <a16:creationId xmlns:a16="http://schemas.microsoft.com/office/drawing/2014/main" id="{00000000-0008-0000-0600-0000DE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223" name="Text Box 18">
              <a:extLst>
                <a:ext uri="{FF2B5EF4-FFF2-40B4-BE49-F238E27FC236}">
                  <a16:creationId xmlns:a16="http://schemas.microsoft.com/office/drawing/2014/main" id="{00000000-0008-0000-0600-0000D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224" name="Group 61">
          <a:extLst>
            <a:ext uri="{FF2B5EF4-FFF2-40B4-BE49-F238E27FC236}">
              <a16:creationId xmlns:a16="http://schemas.microsoft.com/office/drawing/2014/main" id="{00000000-0008-0000-0600-0000E0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225" name="Text Box 62">
            <a:extLst>
              <a:ext uri="{FF2B5EF4-FFF2-40B4-BE49-F238E27FC236}">
                <a16:creationId xmlns:a16="http://schemas.microsoft.com/office/drawing/2014/main" id="{00000000-0008-0000-0600-0000E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226" name="Text Box 63">
            <a:extLst>
              <a:ext uri="{FF2B5EF4-FFF2-40B4-BE49-F238E27FC236}">
                <a16:creationId xmlns:a16="http://schemas.microsoft.com/office/drawing/2014/main" id="{00000000-0008-0000-0600-0000E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227" name="Group 64">
            <a:extLst>
              <a:ext uri="{FF2B5EF4-FFF2-40B4-BE49-F238E27FC236}">
                <a16:creationId xmlns:a16="http://schemas.microsoft.com/office/drawing/2014/main" id="{00000000-0008-0000-0600-0000E3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228" name="Text Box 65">
              <a:extLst>
                <a:ext uri="{FF2B5EF4-FFF2-40B4-BE49-F238E27FC236}">
                  <a16:creationId xmlns:a16="http://schemas.microsoft.com/office/drawing/2014/main" id="{00000000-0008-0000-0600-0000E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229" name="Text Box 66">
              <a:extLst>
                <a:ext uri="{FF2B5EF4-FFF2-40B4-BE49-F238E27FC236}">
                  <a16:creationId xmlns:a16="http://schemas.microsoft.com/office/drawing/2014/main" id="{00000000-0008-0000-0600-0000E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230" name="Group 67"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231" name="Text Box 68">
            <a:extLst>
              <a:ext uri="{FF2B5EF4-FFF2-40B4-BE49-F238E27FC236}">
                <a16:creationId xmlns:a16="http://schemas.microsoft.com/office/drawing/2014/main" id="{00000000-0008-0000-0600-0000E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232" name="Text Box 69">
            <a:extLst>
              <a:ext uri="{FF2B5EF4-FFF2-40B4-BE49-F238E27FC236}">
                <a16:creationId xmlns:a16="http://schemas.microsoft.com/office/drawing/2014/main" id="{00000000-0008-0000-0600-0000E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233" name="Group 70">
            <a:extLst>
              <a:ext uri="{FF2B5EF4-FFF2-40B4-BE49-F238E27FC236}">
                <a16:creationId xmlns:a16="http://schemas.microsoft.com/office/drawing/2014/main" id="{00000000-0008-0000-0600-0000E9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234" name="Text Box 71">
              <a:extLst>
                <a:ext uri="{FF2B5EF4-FFF2-40B4-BE49-F238E27FC236}">
                  <a16:creationId xmlns:a16="http://schemas.microsoft.com/office/drawing/2014/main" id="{00000000-0008-0000-0600-0000EA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235" name="Text Box 72">
              <a:extLst>
                <a:ext uri="{FF2B5EF4-FFF2-40B4-BE49-F238E27FC236}">
                  <a16:creationId xmlns:a16="http://schemas.microsoft.com/office/drawing/2014/main" id="{00000000-0008-0000-0600-0000E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236" name="Group 73">
          <a:extLst>
            <a:ext uri="{FF2B5EF4-FFF2-40B4-BE49-F238E27FC236}">
              <a16:creationId xmlns:a16="http://schemas.microsoft.com/office/drawing/2014/main" id="{00000000-0008-0000-0600-0000EC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237" name="Text Box 74">
            <a:extLst>
              <a:ext uri="{FF2B5EF4-FFF2-40B4-BE49-F238E27FC236}">
                <a16:creationId xmlns:a16="http://schemas.microsoft.com/office/drawing/2014/main" id="{00000000-0008-0000-0600-0000E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238" name="Text Box 75">
            <a:extLst>
              <a:ext uri="{FF2B5EF4-FFF2-40B4-BE49-F238E27FC236}">
                <a16:creationId xmlns:a16="http://schemas.microsoft.com/office/drawing/2014/main" id="{00000000-0008-0000-0600-0000E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239" name="Group 76">
            <a:extLst>
              <a:ext uri="{FF2B5EF4-FFF2-40B4-BE49-F238E27FC236}">
                <a16:creationId xmlns:a16="http://schemas.microsoft.com/office/drawing/2014/main" id="{00000000-0008-0000-0600-0000EF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240" name="Text Box 77">
              <a:extLst>
                <a:ext uri="{FF2B5EF4-FFF2-40B4-BE49-F238E27FC236}">
                  <a16:creationId xmlns:a16="http://schemas.microsoft.com/office/drawing/2014/main" id="{00000000-0008-0000-0600-0000F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241" name="Text Box 78">
              <a:extLst>
                <a:ext uri="{FF2B5EF4-FFF2-40B4-BE49-F238E27FC236}">
                  <a16:creationId xmlns:a16="http://schemas.microsoft.com/office/drawing/2014/main" id="{00000000-0008-0000-0600-0000F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242" name="Group 79"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243" name="Text Box 80">
            <a:extLst>
              <a:ext uri="{FF2B5EF4-FFF2-40B4-BE49-F238E27FC236}">
                <a16:creationId xmlns:a16="http://schemas.microsoft.com/office/drawing/2014/main" id="{00000000-0008-0000-0600-0000F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244" name="Text Box 81">
            <a:extLst>
              <a:ext uri="{FF2B5EF4-FFF2-40B4-BE49-F238E27FC236}">
                <a16:creationId xmlns:a16="http://schemas.microsoft.com/office/drawing/2014/main" id="{00000000-0008-0000-0600-0000F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245" name="Group 82">
            <a:extLst>
              <a:ext uri="{FF2B5EF4-FFF2-40B4-BE49-F238E27FC236}">
                <a16:creationId xmlns:a16="http://schemas.microsoft.com/office/drawing/2014/main" id="{00000000-0008-0000-0600-0000F5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246" name="Text Box 83">
              <a:extLst>
                <a:ext uri="{FF2B5EF4-FFF2-40B4-BE49-F238E27FC236}">
                  <a16:creationId xmlns:a16="http://schemas.microsoft.com/office/drawing/2014/main" id="{00000000-0008-0000-0600-0000F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247" name="Text Box 84">
              <a:extLst>
                <a:ext uri="{FF2B5EF4-FFF2-40B4-BE49-F238E27FC236}">
                  <a16:creationId xmlns:a16="http://schemas.microsoft.com/office/drawing/2014/main" id="{00000000-0008-0000-0600-0000F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248" name="Group 85"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249" name="Text Box 86">
            <a:extLst>
              <a:ext uri="{FF2B5EF4-FFF2-40B4-BE49-F238E27FC236}">
                <a16:creationId xmlns:a16="http://schemas.microsoft.com/office/drawing/2014/main" id="{00000000-0008-0000-0600-0000F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250" name="Text Box 87">
            <a:extLst>
              <a:ext uri="{FF2B5EF4-FFF2-40B4-BE49-F238E27FC236}">
                <a16:creationId xmlns:a16="http://schemas.microsoft.com/office/drawing/2014/main" id="{00000000-0008-0000-0600-0000F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251" name="Group 88">
            <a:extLst>
              <a:ext uri="{FF2B5EF4-FFF2-40B4-BE49-F238E27FC236}">
                <a16:creationId xmlns:a16="http://schemas.microsoft.com/office/drawing/2014/main" id="{00000000-0008-0000-0600-0000FB00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252" name="Text Box 89">
              <a:extLst>
                <a:ext uri="{FF2B5EF4-FFF2-40B4-BE49-F238E27FC236}">
                  <a16:creationId xmlns:a16="http://schemas.microsoft.com/office/drawing/2014/main" id="{00000000-0008-0000-0600-0000F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253" name="Text Box 90">
              <a:extLst>
                <a:ext uri="{FF2B5EF4-FFF2-40B4-BE49-F238E27FC236}">
                  <a16:creationId xmlns:a16="http://schemas.microsoft.com/office/drawing/2014/main" id="{00000000-0008-0000-0600-0000F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254" name="Group 91"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255" name="Text Box 92">
            <a:extLst>
              <a:ext uri="{FF2B5EF4-FFF2-40B4-BE49-F238E27FC236}">
                <a16:creationId xmlns:a16="http://schemas.microsoft.com/office/drawing/2014/main" id="{00000000-0008-0000-0600-0000F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256" name="Text Box 93">
            <a:extLst>
              <a:ext uri="{FF2B5EF4-FFF2-40B4-BE49-F238E27FC236}">
                <a16:creationId xmlns:a16="http://schemas.microsoft.com/office/drawing/2014/main" id="{00000000-0008-0000-0600-000000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257" name="Group 94">
            <a:extLst>
              <a:ext uri="{FF2B5EF4-FFF2-40B4-BE49-F238E27FC236}">
                <a16:creationId xmlns:a16="http://schemas.microsoft.com/office/drawing/2014/main" id="{00000000-0008-0000-0600-000001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258" name="Text Box 95">
              <a:extLst>
                <a:ext uri="{FF2B5EF4-FFF2-40B4-BE49-F238E27FC236}">
                  <a16:creationId xmlns:a16="http://schemas.microsoft.com/office/drawing/2014/main" id="{00000000-0008-0000-0600-000002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259" name="Text Box 96">
              <a:extLst>
                <a:ext uri="{FF2B5EF4-FFF2-40B4-BE49-F238E27FC236}">
                  <a16:creationId xmlns:a16="http://schemas.microsoft.com/office/drawing/2014/main" id="{00000000-0008-0000-0600-000003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260" name="Group 61"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261" name="Text Box 62">
            <a:extLst>
              <a:ext uri="{FF2B5EF4-FFF2-40B4-BE49-F238E27FC236}">
                <a16:creationId xmlns:a16="http://schemas.microsoft.com/office/drawing/2014/main" id="{00000000-0008-0000-0600-000005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262" name="Text Box 63">
            <a:extLst>
              <a:ext uri="{FF2B5EF4-FFF2-40B4-BE49-F238E27FC236}">
                <a16:creationId xmlns:a16="http://schemas.microsoft.com/office/drawing/2014/main" id="{00000000-0008-0000-0600-000006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263" name="Group 64">
            <a:extLst>
              <a:ext uri="{FF2B5EF4-FFF2-40B4-BE49-F238E27FC236}">
                <a16:creationId xmlns:a16="http://schemas.microsoft.com/office/drawing/2014/main" id="{00000000-0008-0000-0600-000007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264" name="Text Box 65">
              <a:extLst>
                <a:ext uri="{FF2B5EF4-FFF2-40B4-BE49-F238E27FC236}">
                  <a16:creationId xmlns:a16="http://schemas.microsoft.com/office/drawing/2014/main" id="{00000000-0008-0000-0600-000008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265" name="Text Box 66">
              <a:extLst>
                <a:ext uri="{FF2B5EF4-FFF2-40B4-BE49-F238E27FC236}">
                  <a16:creationId xmlns:a16="http://schemas.microsoft.com/office/drawing/2014/main" id="{00000000-0008-0000-0600-000009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266" name="Group 67"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267" name="Text Box 68">
            <a:extLst>
              <a:ext uri="{FF2B5EF4-FFF2-40B4-BE49-F238E27FC236}">
                <a16:creationId xmlns:a16="http://schemas.microsoft.com/office/drawing/2014/main" id="{00000000-0008-0000-0600-00000B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268" name="Text Box 69">
            <a:extLst>
              <a:ext uri="{FF2B5EF4-FFF2-40B4-BE49-F238E27FC236}">
                <a16:creationId xmlns:a16="http://schemas.microsoft.com/office/drawing/2014/main" id="{00000000-0008-0000-0600-00000C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269" name="Group 70">
            <a:extLst>
              <a:ext uri="{FF2B5EF4-FFF2-40B4-BE49-F238E27FC236}">
                <a16:creationId xmlns:a16="http://schemas.microsoft.com/office/drawing/2014/main" id="{00000000-0008-0000-0600-00000D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270" name="Text Box 71">
              <a:extLst>
                <a:ext uri="{FF2B5EF4-FFF2-40B4-BE49-F238E27FC236}">
                  <a16:creationId xmlns:a16="http://schemas.microsoft.com/office/drawing/2014/main" id="{00000000-0008-0000-0600-00000E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271" name="Text Box 72">
              <a:extLst>
                <a:ext uri="{FF2B5EF4-FFF2-40B4-BE49-F238E27FC236}">
                  <a16:creationId xmlns:a16="http://schemas.microsoft.com/office/drawing/2014/main" id="{00000000-0008-0000-0600-00000F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272" name="Group 73"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273" name="Text Box 74">
            <a:extLst>
              <a:ext uri="{FF2B5EF4-FFF2-40B4-BE49-F238E27FC236}">
                <a16:creationId xmlns:a16="http://schemas.microsoft.com/office/drawing/2014/main" id="{00000000-0008-0000-0600-000011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274" name="Text Box 75">
            <a:extLst>
              <a:ext uri="{FF2B5EF4-FFF2-40B4-BE49-F238E27FC236}">
                <a16:creationId xmlns:a16="http://schemas.microsoft.com/office/drawing/2014/main" id="{00000000-0008-0000-0600-000012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275" name="Group 76">
            <a:extLst>
              <a:ext uri="{FF2B5EF4-FFF2-40B4-BE49-F238E27FC236}">
                <a16:creationId xmlns:a16="http://schemas.microsoft.com/office/drawing/2014/main" id="{00000000-0008-0000-0600-000013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276" name="Text Box 77">
              <a:extLst>
                <a:ext uri="{FF2B5EF4-FFF2-40B4-BE49-F238E27FC236}">
                  <a16:creationId xmlns:a16="http://schemas.microsoft.com/office/drawing/2014/main" id="{00000000-0008-0000-0600-000014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277" name="Text Box 78">
              <a:extLst>
                <a:ext uri="{FF2B5EF4-FFF2-40B4-BE49-F238E27FC236}">
                  <a16:creationId xmlns:a16="http://schemas.microsoft.com/office/drawing/2014/main" id="{00000000-0008-0000-0600-000015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278" name="Group 79"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279" name="Text Box 80">
            <a:extLst>
              <a:ext uri="{FF2B5EF4-FFF2-40B4-BE49-F238E27FC236}">
                <a16:creationId xmlns:a16="http://schemas.microsoft.com/office/drawing/2014/main" id="{00000000-0008-0000-0600-000017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280" name="Text Box 81">
            <a:extLst>
              <a:ext uri="{FF2B5EF4-FFF2-40B4-BE49-F238E27FC236}">
                <a16:creationId xmlns:a16="http://schemas.microsoft.com/office/drawing/2014/main" id="{00000000-0008-0000-0600-000018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281" name="Group 82">
            <a:extLst>
              <a:ext uri="{FF2B5EF4-FFF2-40B4-BE49-F238E27FC236}">
                <a16:creationId xmlns:a16="http://schemas.microsoft.com/office/drawing/2014/main" id="{00000000-0008-0000-0600-000019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282" name="Text Box 83">
              <a:extLst>
                <a:ext uri="{FF2B5EF4-FFF2-40B4-BE49-F238E27FC236}">
                  <a16:creationId xmlns:a16="http://schemas.microsoft.com/office/drawing/2014/main" id="{00000000-0008-0000-0600-00001A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283" name="Text Box 84">
              <a:extLst>
                <a:ext uri="{FF2B5EF4-FFF2-40B4-BE49-F238E27FC236}">
                  <a16:creationId xmlns:a16="http://schemas.microsoft.com/office/drawing/2014/main" id="{00000000-0008-0000-0600-00001B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284" name="Group 85">
          <a:extLst>
            <a:ext uri="{FF2B5EF4-FFF2-40B4-BE49-F238E27FC236}">
              <a16:creationId xmlns:a16="http://schemas.microsoft.com/office/drawing/2014/main" id="{00000000-0008-0000-0600-00001C01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285" name="Text Box 86">
            <a:extLst>
              <a:ext uri="{FF2B5EF4-FFF2-40B4-BE49-F238E27FC236}">
                <a16:creationId xmlns:a16="http://schemas.microsoft.com/office/drawing/2014/main" id="{00000000-0008-0000-0600-00001D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286" name="Text Box 87">
            <a:extLst>
              <a:ext uri="{FF2B5EF4-FFF2-40B4-BE49-F238E27FC236}">
                <a16:creationId xmlns:a16="http://schemas.microsoft.com/office/drawing/2014/main" id="{00000000-0008-0000-0600-00001E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287" name="Group 88">
            <a:extLst>
              <a:ext uri="{FF2B5EF4-FFF2-40B4-BE49-F238E27FC236}">
                <a16:creationId xmlns:a16="http://schemas.microsoft.com/office/drawing/2014/main" id="{00000000-0008-0000-0600-00001F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288" name="Text Box 89">
              <a:extLst>
                <a:ext uri="{FF2B5EF4-FFF2-40B4-BE49-F238E27FC236}">
                  <a16:creationId xmlns:a16="http://schemas.microsoft.com/office/drawing/2014/main" id="{00000000-0008-0000-0600-000020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289" name="Text Box 90">
              <a:extLst>
                <a:ext uri="{FF2B5EF4-FFF2-40B4-BE49-F238E27FC236}">
                  <a16:creationId xmlns:a16="http://schemas.microsoft.com/office/drawing/2014/main" id="{00000000-0008-0000-0600-000021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290" name="Group 91">
          <a:extLst>
            <a:ext uri="{FF2B5EF4-FFF2-40B4-BE49-F238E27FC236}">
              <a16:creationId xmlns:a16="http://schemas.microsoft.com/office/drawing/2014/main" id="{00000000-0008-0000-0600-00002201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291" name="Text Box 92">
            <a:extLst>
              <a:ext uri="{FF2B5EF4-FFF2-40B4-BE49-F238E27FC236}">
                <a16:creationId xmlns:a16="http://schemas.microsoft.com/office/drawing/2014/main" id="{00000000-0008-0000-0600-000023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292" name="Text Box 93">
            <a:extLst>
              <a:ext uri="{FF2B5EF4-FFF2-40B4-BE49-F238E27FC236}">
                <a16:creationId xmlns:a16="http://schemas.microsoft.com/office/drawing/2014/main" id="{00000000-0008-0000-0600-000024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293" name="Group 94">
            <a:extLst>
              <a:ext uri="{FF2B5EF4-FFF2-40B4-BE49-F238E27FC236}">
                <a16:creationId xmlns:a16="http://schemas.microsoft.com/office/drawing/2014/main" id="{00000000-0008-0000-0600-000025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294" name="Text Box 95">
              <a:extLst>
                <a:ext uri="{FF2B5EF4-FFF2-40B4-BE49-F238E27FC236}">
                  <a16:creationId xmlns:a16="http://schemas.microsoft.com/office/drawing/2014/main" id="{00000000-0008-0000-0600-000026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295" name="Text Box 96">
              <a:extLst>
                <a:ext uri="{FF2B5EF4-FFF2-40B4-BE49-F238E27FC236}">
                  <a16:creationId xmlns:a16="http://schemas.microsoft.com/office/drawing/2014/main" id="{00000000-0008-0000-0600-000027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296" name="Group 1">
          <a:extLst>
            <a:ext uri="{FF2B5EF4-FFF2-40B4-BE49-F238E27FC236}">
              <a16:creationId xmlns:a16="http://schemas.microsoft.com/office/drawing/2014/main" id="{00000000-0008-0000-0600-00002801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297" name="Text Box 2">
            <a:extLst>
              <a:ext uri="{FF2B5EF4-FFF2-40B4-BE49-F238E27FC236}">
                <a16:creationId xmlns:a16="http://schemas.microsoft.com/office/drawing/2014/main" id="{00000000-0008-0000-0600-000029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298" name="Text Box 3">
            <a:extLst>
              <a:ext uri="{FF2B5EF4-FFF2-40B4-BE49-F238E27FC236}">
                <a16:creationId xmlns:a16="http://schemas.microsoft.com/office/drawing/2014/main" id="{00000000-0008-0000-0600-00002A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299" name="Group 4">
            <a:extLst>
              <a:ext uri="{FF2B5EF4-FFF2-40B4-BE49-F238E27FC236}">
                <a16:creationId xmlns:a16="http://schemas.microsoft.com/office/drawing/2014/main" id="{00000000-0008-0000-0600-00002B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300" name="Text Box 5">
              <a:extLst>
                <a:ext uri="{FF2B5EF4-FFF2-40B4-BE49-F238E27FC236}">
                  <a16:creationId xmlns:a16="http://schemas.microsoft.com/office/drawing/2014/main" id="{00000000-0008-0000-0600-00002C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301" name="Text Box 6">
              <a:extLst>
                <a:ext uri="{FF2B5EF4-FFF2-40B4-BE49-F238E27FC236}">
                  <a16:creationId xmlns:a16="http://schemas.microsoft.com/office/drawing/2014/main" id="{00000000-0008-0000-0600-00002D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302" name="Group 7">
          <a:extLst>
            <a:ext uri="{FF2B5EF4-FFF2-40B4-BE49-F238E27FC236}">
              <a16:creationId xmlns:a16="http://schemas.microsoft.com/office/drawing/2014/main" id="{00000000-0008-0000-0600-00002E01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303" name="Text Box 8">
            <a:extLst>
              <a:ext uri="{FF2B5EF4-FFF2-40B4-BE49-F238E27FC236}">
                <a16:creationId xmlns:a16="http://schemas.microsoft.com/office/drawing/2014/main" id="{00000000-0008-0000-0600-00002F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304" name="Text Box 9">
            <a:extLst>
              <a:ext uri="{FF2B5EF4-FFF2-40B4-BE49-F238E27FC236}">
                <a16:creationId xmlns:a16="http://schemas.microsoft.com/office/drawing/2014/main" id="{00000000-0008-0000-0600-000030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305" name="Group 10">
            <a:extLst>
              <a:ext uri="{FF2B5EF4-FFF2-40B4-BE49-F238E27FC236}">
                <a16:creationId xmlns:a16="http://schemas.microsoft.com/office/drawing/2014/main" id="{00000000-0008-0000-0600-000031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306" name="Text Box 11">
              <a:extLst>
                <a:ext uri="{FF2B5EF4-FFF2-40B4-BE49-F238E27FC236}">
                  <a16:creationId xmlns:a16="http://schemas.microsoft.com/office/drawing/2014/main" id="{00000000-0008-0000-0600-000032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307" name="Text Box 12">
              <a:extLst>
                <a:ext uri="{FF2B5EF4-FFF2-40B4-BE49-F238E27FC236}">
                  <a16:creationId xmlns:a16="http://schemas.microsoft.com/office/drawing/2014/main" id="{00000000-0008-0000-0600-000033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308" name="Group 13">
          <a:extLst>
            <a:ext uri="{FF2B5EF4-FFF2-40B4-BE49-F238E27FC236}">
              <a16:creationId xmlns:a16="http://schemas.microsoft.com/office/drawing/2014/main" id="{00000000-0008-0000-0600-00003401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309" name="Text Box 14">
            <a:extLst>
              <a:ext uri="{FF2B5EF4-FFF2-40B4-BE49-F238E27FC236}">
                <a16:creationId xmlns:a16="http://schemas.microsoft.com/office/drawing/2014/main" id="{00000000-0008-0000-0600-000035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310" name="Text Box 15">
            <a:extLst>
              <a:ext uri="{FF2B5EF4-FFF2-40B4-BE49-F238E27FC236}">
                <a16:creationId xmlns:a16="http://schemas.microsoft.com/office/drawing/2014/main" id="{00000000-0008-0000-0600-000036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311" name="Group 16">
            <a:extLst>
              <a:ext uri="{FF2B5EF4-FFF2-40B4-BE49-F238E27FC236}">
                <a16:creationId xmlns:a16="http://schemas.microsoft.com/office/drawing/2014/main" id="{00000000-0008-0000-0600-000037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312" name="Text Box 17">
              <a:extLst>
                <a:ext uri="{FF2B5EF4-FFF2-40B4-BE49-F238E27FC236}">
                  <a16:creationId xmlns:a16="http://schemas.microsoft.com/office/drawing/2014/main" id="{00000000-0008-0000-0600-000038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313" name="Text Box 18">
              <a:extLst>
                <a:ext uri="{FF2B5EF4-FFF2-40B4-BE49-F238E27FC236}">
                  <a16:creationId xmlns:a16="http://schemas.microsoft.com/office/drawing/2014/main" id="{00000000-0008-0000-0600-000039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314" name="Group 61">
          <a:extLst>
            <a:ext uri="{FF2B5EF4-FFF2-40B4-BE49-F238E27FC236}">
              <a16:creationId xmlns:a16="http://schemas.microsoft.com/office/drawing/2014/main" id="{00000000-0008-0000-0600-00003A01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315" name="Text Box 62">
            <a:extLst>
              <a:ext uri="{FF2B5EF4-FFF2-40B4-BE49-F238E27FC236}">
                <a16:creationId xmlns:a16="http://schemas.microsoft.com/office/drawing/2014/main" id="{00000000-0008-0000-0600-00003B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316" name="Text Box 63">
            <a:extLst>
              <a:ext uri="{FF2B5EF4-FFF2-40B4-BE49-F238E27FC236}">
                <a16:creationId xmlns:a16="http://schemas.microsoft.com/office/drawing/2014/main" id="{00000000-0008-0000-0600-00003C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317" name="Group 64">
            <a:extLst>
              <a:ext uri="{FF2B5EF4-FFF2-40B4-BE49-F238E27FC236}">
                <a16:creationId xmlns:a16="http://schemas.microsoft.com/office/drawing/2014/main" id="{00000000-0008-0000-0600-00003D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318" name="Text Box 65">
              <a:extLst>
                <a:ext uri="{FF2B5EF4-FFF2-40B4-BE49-F238E27FC236}">
                  <a16:creationId xmlns:a16="http://schemas.microsoft.com/office/drawing/2014/main" id="{00000000-0008-0000-0600-00003E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319" name="Text Box 66">
              <a:extLst>
                <a:ext uri="{FF2B5EF4-FFF2-40B4-BE49-F238E27FC236}">
                  <a16:creationId xmlns:a16="http://schemas.microsoft.com/office/drawing/2014/main" id="{00000000-0008-0000-0600-00003F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320" name="Group 67">
          <a:extLst>
            <a:ext uri="{FF2B5EF4-FFF2-40B4-BE49-F238E27FC236}">
              <a16:creationId xmlns:a16="http://schemas.microsoft.com/office/drawing/2014/main" id="{00000000-0008-0000-0600-00004001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321" name="Text Box 68">
            <a:extLst>
              <a:ext uri="{FF2B5EF4-FFF2-40B4-BE49-F238E27FC236}">
                <a16:creationId xmlns:a16="http://schemas.microsoft.com/office/drawing/2014/main" id="{00000000-0008-0000-0600-000041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322" name="Text Box 69">
            <a:extLst>
              <a:ext uri="{FF2B5EF4-FFF2-40B4-BE49-F238E27FC236}">
                <a16:creationId xmlns:a16="http://schemas.microsoft.com/office/drawing/2014/main" id="{00000000-0008-0000-0600-000042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323" name="Group 70">
            <a:extLst>
              <a:ext uri="{FF2B5EF4-FFF2-40B4-BE49-F238E27FC236}">
                <a16:creationId xmlns:a16="http://schemas.microsoft.com/office/drawing/2014/main" id="{00000000-0008-0000-0600-000043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324" name="Text Box 71">
              <a:extLst>
                <a:ext uri="{FF2B5EF4-FFF2-40B4-BE49-F238E27FC236}">
                  <a16:creationId xmlns:a16="http://schemas.microsoft.com/office/drawing/2014/main" id="{00000000-0008-0000-0600-000044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325" name="Text Box 72">
              <a:extLst>
                <a:ext uri="{FF2B5EF4-FFF2-40B4-BE49-F238E27FC236}">
                  <a16:creationId xmlns:a16="http://schemas.microsoft.com/office/drawing/2014/main" id="{00000000-0008-0000-0600-000045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326" name="Group 73">
          <a:extLst>
            <a:ext uri="{FF2B5EF4-FFF2-40B4-BE49-F238E27FC236}">
              <a16:creationId xmlns:a16="http://schemas.microsoft.com/office/drawing/2014/main" id="{00000000-0008-0000-0600-00004601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327" name="Text Box 74">
            <a:extLst>
              <a:ext uri="{FF2B5EF4-FFF2-40B4-BE49-F238E27FC236}">
                <a16:creationId xmlns:a16="http://schemas.microsoft.com/office/drawing/2014/main" id="{00000000-0008-0000-0600-000047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328" name="Text Box 75">
            <a:extLst>
              <a:ext uri="{FF2B5EF4-FFF2-40B4-BE49-F238E27FC236}">
                <a16:creationId xmlns:a16="http://schemas.microsoft.com/office/drawing/2014/main" id="{00000000-0008-0000-0600-000048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329" name="Group 76">
            <a:extLst>
              <a:ext uri="{FF2B5EF4-FFF2-40B4-BE49-F238E27FC236}">
                <a16:creationId xmlns:a16="http://schemas.microsoft.com/office/drawing/2014/main" id="{00000000-0008-0000-0600-000049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330" name="Text Box 77">
              <a:extLst>
                <a:ext uri="{FF2B5EF4-FFF2-40B4-BE49-F238E27FC236}">
                  <a16:creationId xmlns:a16="http://schemas.microsoft.com/office/drawing/2014/main" id="{00000000-0008-0000-0600-00004A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331" name="Text Box 78">
              <a:extLst>
                <a:ext uri="{FF2B5EF4-FFF2-40B4-BE49-F238E27FC236}">
                  <a16:creationId xmlns:a16="http://schemas.microsoft.com/office/drawing/2014/main" id="{00000000-0008-0000-0600-00004B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332" name="Group 79">
          <a:extLst>
            <a:ext uri="{FF2B5EF4-FFF2-40B4-BE49-F238E27FC236}">
              <a16:creationId xmlns:a16="http://schemas.microsoft.com/office/drawing/2014/main" id="{00000000-0008-0000-0600-00004C01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333" name="Text Box 80">
            <a:extLst>
              <a:ext uri="{FF2B5EF4-FFF2-40B4-BE49-F238E27FC236}">
                <a16:creationId xmlns:a16="http://schemas.microsoft.com/office/drawing/2014/main" id="{00000000-0008-0000-0600-00004D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334" name="Text Box 81">
            <a:extLst>
              <a:ext uri="{FF2B5EF4-FFF2-40B4-BE49-F238E27FC236}">
                <a16:creationId xmlns:a16="http://schemas.microsoft.com/office/drawing/2014/main" id="{00000000-0008-0000-0600-00004E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335" name="Group 82">
            <a:extLst>
              <a:ext uri="{FF2B5EF4-FFF2-40B4-BE49-F238E27FC236}">
                <a16:creationId xmlns:a16="http://schemas.microsoft.com/office/drawing/2014/main" id="{00000000-0008-0000-0600-00004F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336" name="Text Box 83">
              <a:extLst>
                <a:ext uri="{FF2B5EF4-FFF2-40B4-BE49-F238E27FC236}">
                  <a16:creationId xmlns:a16="http://schemas.microsoft.com/office/drawing/2014/main" id="{00000000-0008-0000-0600-000050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337" name="Text Box 84">
              <a:extLst>
                <a:ext uri="{FF2B5EF4-FFF2-40B4-BE49-F238E27FC236}">
                  <a16:creationId xmlns:a16="http://schemas.microsoft.com/office/drawing/2014/main" id="{00000000-0008-0000-0600-000051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338" name="Group 85">
          <a:extLst>
            <a:ext uri="{FF2B5EF4-FFF2-40B4-BE49-F238E27FC236}">
              <a16:creationId xmlns:a16="http://schemas.microsoft.com/office/drawing/2014/main" id="{00000000-0008-0000-0600-00005201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339" name="Text Box 86">
            <a:extLst>
              <a:ext uri="{FF2B5EF4-FFF2-40B4-BE49-F238E27FC236}">
                <a16:creationId xmlns:a16="http://schemas.microsoft.com/office/drawing/2014/main" id="{00000000-0008-0000-0600-000053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340" name="Text Box 87">
            <a:extLst>
              <a:ext uri="{FF2B5EF4-FFF2-40B4-BE49-F238E27FC236}">
                <a16:creationId xmlns:a16="http://schemas.microsoft.com/office/drawing/2014/main" id="{00000000-0008-0000-0600-000054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341" name="Group 88">
            <a:extLst>
              <a:ext uri="{FF2B5EF4-FFF2-40B4-BE49-F238E27FC236}">
                <a16:creationId xmlns:a16="http://schemas.microsoft.com/office/drawing/2014/main" id="{00000000-0008-0000-0600-000055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342" name="Text Box 89">
              <a:extLst>
                <a:ext uri="{FF2B5EF4-FFF2-40B4-BE49-F238E27FC236}">
                  <a16:creationId xmlns:a16="http://schemas.microsoft.com/office/drawing/2014/main" id="{00000000-0008-0000-0600-000056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343" name="Text Box 90">
              <a:extLst>
                <a:ext uri="{FF2B5EF4-FFF2-40B4-BE49-F238E27FC236}">
                  <a16:creationId xmlns:a16="http://schemas.microsoft.com/office/drawing/2014/main" id="{00000000-0008-0000-0600-000057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344" name="Group 91">
          <a:extLst>
            <a:ext uri="{FF2B5EF4-FFF2-40B4-BE49-F238E27FC236}">
              <a16:creationId xmlns:a16="http://schemas.microsoft.com/office/drawing/2014/main" id="{00000000-0008-0000-0600-00005801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345" name="Text Box 92">
            <a:extLst>
              <a:ext uri="{FF2B5EF4-FFF2-40B4-BE49-F238E27FC236}">
                <a16:creationId xmlns:a16="http://schemas.microsoft.com/office/drawing/2014/main" id="{00000000-0008-0000-0600-000059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346" name="Text Box 93">
            <a:extLst>
              <a:ext uri="{FF2B5EF4-FFF2-40B4-BE49-F238E27FC236}">
                <a16:creationId xmlns:a16="http://schemas.microsoft.com/office/drawing/2014/main" id="{00000000-0008-0000-0600-00005A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347" name="Group 94">
            <a:extLst>
              <a:ext uri="{FF2B5EF4-FFF2-40B4-BE49-F238E27FC236}">
                <a16:creationId xmlns:a16="http://schemas.microsoft.com/office/drawing/2014/main" id="{00000000-0008-0000-0600-00005B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348" name="Text Box 95">
              <a:extLst>
                <a:ext uri="{FF2B5EF4-FFF2-40B4-BE49-F238E27FC236}">
                  <a16:creationId xmlns:a16="http://schemas.microsoft.com/office/drawing/2014/main" id="{00000000-0008-0000-0600-00005C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349" name="Text Box 96">
              <a:extLst>
                <a:ext uri="{FF2B5EF4-FFF2-40B4-BE49-F238E27FC236}">
                  <a16:creationId xmlns:a16="http://schemas.microsoft.com/office/drawing/2014/main" id="{00000000-0008-0000-0600-00005D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350" name="Group 61">
          <a:extLst>
            <a:ext uri="{FF2B5EF4-FFF2-40B4-BE49-F238E27FC236}">
              <a16:creationId xmlns:a16="http://schemas.microsoft.com/office/drawing/2014/main" id="{00000000-0008-0000-0600-00005E01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351" name="Text Box 62">
            <a:extLst>
              <a:ext uri="{FF2B5EF4-FFF2-40B4-BE49-F238E27FC236}">
                <a16:creationId xmlns:a16="http://schemas.microsoft.com/office/drawing/2014/main" id="{00000000-0008-0000-0600-00005F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352" name="Text Box 63">
            <a:extLst>
              <a:ext uri="{FF2B5EF4-FFF2-40B4-BE49-F238E27FC236}">
                <a16:creationId xmlns:a16="http://schemas.microsoft.com/office/drawing/2014/main" id="{00000000-0008-0000-0600-000060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353" name="Group 64">
            <a:extLst>
              <a:ext uri="{FF2B5EF4-FFF2-40B4-BE49-F238E27FC236}">
                <a16:creationId xmlns:a16="http://schemas.microsoft.com/office/drawing/2014/main" id="{00000000-0008-0000-0600-000061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354" name="Text Box 65">
              <a:extLst>
                <a:ext uri="{FF2B5EF4-FFF2-40B4-BE49-F238E27FC236}">
                  <a16:creationId xmlns:a16="http://schemas.microsoft.com/office/drawing/2014/main" id="{00000000-0008-0000-0600-000062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355" name="Text Box 66">
              <a:extLst>
                <a:ext uri="{FF2B5EF4-FFF2-40B4-BE49-F238E27FC236}">
                  <a16:creationId xmlns:a16="http://schemas.microsoft.com/office/drawing/2014/main" id="{00000000-0008-0000-0600-000063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356" name="Group 67">
          <a:extLst>
            <a:ext uri="{FF2B5EF4-FFF2-40B4-BE49-F238E27FC236}">
              <a16:creationId xmlns:a16="http://schemas.microsoft.com/office/drawing/2014/main" id="{00000000-0008-0000-0600-00006401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357" name="Text Box 68">
            <a:extLst>
              <a:ext uri="{FF2B5EF4-FFF2-40B4-BE49-F238E27FC236}">
                <a16:creationId xmlns:a16="http://schemas.microsoft.com/office/drawing/2014/main" id="{00000000-0008-0000-0600-000065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358" name="Text Box 69">
            <a:extLst>
              <a:ext uri="{FF2B5EF4-FFF2-40B4-BE49-F238E27FC236}">
                <a16:creationId xmlns:a16="http://schemas.microsoft.com/office/drawing/2014/main" id="{00000000-0008-0000-0600-000066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359" name="Group 70">
            <a:extLst>
              <a:ext uri="{FF2B5EF4-FFF2-40B4-BE49-F238E27FC236}">
                <a16:creationId xmlns:a16="http://schemas.microsoft.com/office/drawing/2014/main" id="{00000000-0008-0000-0600-000067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360" name="Text Box 71">
              <a:extLst>
                <a:ext uri="{FF2B5EF4-FFF2-40B4-BE49-F238E27FC236}">
                  <a16:creationId xmlns:a16="http://schemas.microsoft.com/office/drawing/2014/main" id="{00000000-0008-0000-0600-000068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361" name="Text Box 72">
              <a:extLst>
                <a:ext uri="{FF2B5EF4-FFF2-40B4-BE49-F238E27FC236}">
                  <a16:creationId xmlns:a16="http://schemas.microsoft.com/office/drawing/2014/main" id="{00000000-0008-0000-0600-000069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362" name="Group 73">
          <a:extLst>
            <a:ext uri="{FF2B5EF4-FFF2-40B4-BE49-F238E27FC236}">
              <a16:creationId xmlns:a16="http://schemas.microsoft.com/office/drawing/2014/main" id="{00000000-0008-0000-0600-00006A01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363" name="Text Box 74">
            <a:extLst>
              <a:ext uri="{FF2B5EF4-FFF2-40B4-BE49-F238E27FC236}">
                <a16:creationId xmlns:a16="http://schemas.microsoft.com/office/drawing/2014/main" id="{00000000-0008-0000-0600-00006B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364" name="Text Box 75">
            <a:extLst>
              <a:ext uri="{FF2B5EF4-FFF2-40B4-BE49-F238E27FC236}">
                <a16:creationId xmlns:a16="http://schemas.microsoft.com/office/drawing/2014/main" id="{00000000-0008-0000-0600-00006C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365" name="Group 76">
            <a:extLst>
              <a:ext uri="{FF2B5EF4-FFF2-40B4-BE49-F238E27FC236}">
                <a16:creationId xmlns:a16="http://schemas.microsoft.com/office/drawing/2014/main" id="{00000000-0008-0000-0600-00006D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366" name="Text Box 77">
              <a:extLst>
                <a:ext uri="{FF2B5EF4-FFF2-40B4-BE49-F238E27FC236}">
                  <a16:creationId xmlns:a16="http://schemas.microsoft.com/office/drawing/2014/main" id="{00000000-0008-0000-0600-00006E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367" name="Text Box 78">
              <a:extLst>
                <a:ext uri="{FF2B5EF4-FFF2-40B4-BE49-F238E27FC236}">
                  <a16:creationId xmlns:a16="http://schemas.microsoft.com/office/drawing/2014/main" id="{00000000-0008-0000-0600-00006F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368" name="Group 79">
          <a:extLst>
            <a:ext uri="{FF2B5EF4-FFF2-40B4-BE49-F238E27FC236}">
              <a16:creationId xmlns:a16="http://schemas.microsoft.com/office/drawing/2014/main" id="{00000000-0008-0000-0600-00007001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369" name="Text Box 80">
            <a:extLst>
              <a:ext uri="{FF2B5EF4-FFF2-40B4-BE49-F238E27FC236}">
                <a16:creationId xmlns:a16="http://schemas.microsoft.com/office/drawing/2014/main" id="{00000000-0008-0000-0600-000071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370" name="Text Box 81">
            <a:extLst>
              <a:ext uri="{FF2B5EF4-FFF2-40B4-BE49-F238E27FC236}">
                <a16:creationId xmlns:a16="http://schemas.microsoft.com/office/drawing/2014/main" id="{00000000-0008-0000-0600-000072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371" name="Group 82">
            <a:extLst>
              <a:ext uri="{FF2B5EF4-FFF2-40B4-BE49-F238E27FC236}">
                <a16:creationId xmlns:a16="http://schemas.microsoft.com/office/drawing/2014/main" id="{00000000-0008-0000-0600-000073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372" name="Text Box 83">
              <a:extLst>
                <a:ext uri="{FF2B5EF4-FFF2-40B4-BE49-F238E27FC236}">
                  <a16:creationId xmlns:a16="http://schemas.microsoft.com/office/drawing/2014/main" id="{00000000-0008-0000-0600-000074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373" name="Text Box 84">
              <a:extLst>
                <a:ext uri="{FF2B5EF4-FFF2-40B4-BE49-F238E27FC236}">
                  <a16:creationId xmlns:a16="http://schemas.microsoft.com/office/drawing/2014/main" id="{00000000-0008-0000-0600-000075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374" name="Group 85">
          <a:extLst>
            <a:ext uri="{FF2B5EF4-FFF2-40B4-BE49-F238E27FC236}">
              <a16:creationId xmlns:a16="http://schemas.microsoft.com/office/drawing/2014/main" id="{00000000-0008-0000-0600-00007601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375" name="Text Box 86">
            <a:extLst>
              <a:ext uri="{FF2B5EF4-FFF2-40B4-BE49-F238E27FC236}">
                <a16:creationId xmlns:a16="http://schemas.microsoft.com/office/drawing/2014/main" id="{00000000-0008-0000-0600-000077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376" name="Text Box 87">
            <a:extLst>
              <a:ext uri="{FF2B5EF4-FFF2-40B4-BE49-F238E27FC236}">
                <a16:creationId xmlns:a16="http://schemas.microsoft.com/office/drawing/2014/main" id="{00000000-0008-0000-0600-000078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377" name="Group 88">
            <a:extLst>
              <a:ext uri="{FF2B5EF4-FFF2-40B4-BE49-F238E27FC236}">
                <a16:creationId xmlns:a16="http://schemas.microsoft.com/office/drawing/2014/main" id="{00000000-0008-0000-0600-000079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378" name="Text Box 89">
              <a:extLst>
                <a:ext uri="{FF2B5EF4-FFF2-40B4-BE49-F238E27FC236}">
                  <a16:creationId xmlns:a16="http://schemas.microsoft.com/office/drawing/2014/main" id="{00000000-0008-0000-0600-00007A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379" name="Text Box 90">
              <a:extLst>
                <a:ext uri="{FF2B5EF4-FFF2-40B4-BE49-F238E27FC236}">
                  <a16:creationId xmlns:a16="http://schemas.microsoft.com/office/drawing/2014/main" id="{00000000-0008-0000-0600-00007B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380" name="Group 91">
          <a:extLst>
            <a:ext uri="{FF2B5EF4-FFF2-40B4-BE49-F238E27FC236}">
              <a16:creationId xmlns:a16="http://schemas.microsoft.com/office/drawing/2014/main" id="{00000000-0008-0000-0600-00007C01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381" name="Text Box 92">
            <a:extLst>
              <a:ext uri="{FF2B5EF4-FFF2-40B4-BE49-F238E27FC236}">
                <a16:creationId xmlns:a16="http://schemas.microsoft.com/office/drawing/2014/main" id="{00000000-0008-0000-0600-00007D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382" name="Text Box 93">
            <a:extLst>
              <a:ext uri="{FF2B5EF4-FFF2-40B4-BE49-F238E27FC236}">
                <a16:creationId xmlns:a16="http://schemas.microsoft.com/office/drawing/2014/main" id="{00000000-0008-0000-0600-00007E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383" name="Group 94">
            <a:extLst>
              <a:ext uri="{FF2B5EF4-FFF2-40B4-BE49-F238E27FC236}">
                <a16:creationId xmlns:a16="http://schemas.microsoft.com/office/drawing/2014/main" id="{00000000-0008-0000-0600-00007F01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384" name="Text Box 95">
              <a:extLst>
                <a:ext uri="{FF2B5EF4-FFF2-40B4-BE49-F238E27FC236}">
                  <a16:creationId xmlns:a16="http://schemas.microsoft.com/office/drawing/2014/main" id="{00000000-0008-0000-0600-000080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385" name="Text Box 96">
              <a:extLst>
                <a:ext uri="{FF2B5EF4-FFF2-40B4-BE49-F238E27FC236}">
                  <a16:creationId xmlns:a16="http://schemas.microsoft.com/office/drawing/2014/main" id="{00000000-0008-0000-0600-00008101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746" name="Group 1">
          <a:extLst>
            <a:ext uri="{FF2B5EF4-FFF2-40B4-BE49-F238E27FC236}">
              <a16:creationId xmlns:a16="http://schemas.microsoft.com/office/drawing/2014/main" id="{00000000-0008-0000-0600-0000EA02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747" name="Text Box 2">
            <a:extLst>
              <a:ext uri="{FF2B5EF4-FFF2-40B4-BE49-F238E27FC236}">
                <a16:creationId xmlns:a16="http://schemas.microsoft.com/office/drawing/2014/main" id="{00000000-0008-0000-0600-0000EB02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748" name="Text Box 3">
            <a:extLst>
              <a:ext uri="{FF2B5EF4-FFF2-40B4-BE49-F238E27FC236}">
                <a16:creationId xmlns:a16="http://schemas.microsoft.com/office/drawing/2014/main" id="{00000000-0008-0000-0600-0000EC02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749" name="Group 4">
            <a:extLst>
              <a:ext uri="{FF2B5EF4-FFF2-40B4-BE49-F238E27FC236}">
                <a16:creationId xmlns:a16="http://schemas.microsoft.com/office/drawing/2014/main" id="{00000000-0008-0000-0600-0000ED02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750" name="Text Box 5">
              <a:extLst>
                <a:ext uri="{FF2B5EF4-FFF2-40B4-BE49-F238E27FC236}">
                  <a16:creationId xmlns:a16="http://schemas.microsoft.com/office/drawing/2014/main" id="{00000000-0008-0000-0600-0000EE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51" name="Text Box 6">
              <a:extLst>
                <a:ext uri="{FF2B5EF4-FFF2-40B4-BE49-F238E27FC236}">
                  <a16:creationId xmlns:a16="http://schemas.microsoft.com/office/drawing/2014/main" id="{00000000-0008-0000-0600-0000EF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752" name="Group 7">
          <a:extLst>
            <a:ext uri="{FF2B5EF4-FFF2-40B4-BE49-F238E27FC236}">
              <a16:creationId xmlns:a16="http://schemas.microsoft.com/office/drawing/2014/main" id="{00000000-0008-0000-0600-0000F002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753" name="Text Box 8">
            <a:extLst>
              <a:ext uri="{FF2B5EF4-FFF2-40B4-BE49-F238E27FC236}">
                <a16:creationId xmlns:a16="http://schemas.microsoft.com/office/drawing/2014/main" id="{00000000-0008-0000-0600-0000F102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754" name="Text Box 9">
            <a:extLst>
              <a:ext uri="{FF2B5EF4-FFF2-40B4-BE49-F238E27FC236}">
                <a16:creationId xmlns:a16="http://schemas.microsoft.com/office/drawing/2014/main" id="{00000000-0008-0000-0600-0000F202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755" name="Group 10">
            <a:extLst>
              <a:ext uri="{FF2B5EF4-FFF2-40B4-BE49-F238E27FC236}">
                <a16:creationId xmlns:a16="http://schemas.microsoft.com/office/drawing/2014/main" id="{00000000-0008-0000-0600-0000F302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756" name="Text Box 11">
              <a:extLst>
                <a:ext uri="{FF2B5EF4-FFF2-40B4-BE49-F238E27FC236}">
                  <a16:creationId xmlns:a16="http://schemas.microsoft.com/office/drawing/2014/main" id="{00000000-0008-0000-0600-0000F4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57" name="Text Box 12">
              <a:extLst>
                <a:ext uri="{FF2B5EF4-FFF2-40B4-BE49-F238E27FC236}">
                  <a16:creationId xmlns:a16="http://schemas.microsoft.com/office/drawing/2014/main" id="{00000000-0008-0000-0600-0000F5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758" name="Group 13">
          <a:extLst>
            <a:ext uri="{FF2B5EF4-FFF2-40B4-BE49-F238E27FC236}">
              <a16:creationId xmlns:a16="http://schemas.microsoft.com/office/drawing/2014/main" id="{00000000-0008-0000-0600-0000F602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759" name="Text Box 14">
            <a:extLst>
              <a:ext uri="{FF2B5EF4-FFF2-40B4-BE49-F238E27FC236}">
                <a16:creationId xmlns:a16="http://schemas.microsoft.com/office/drawing/2014/main" id="{00000000-0008-0000-0600-0000F702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760" name="Text Box 15">
            <a:extLst>
              <a:ext uri="{FF2B5EF4-FFF2-40B4-BE49-F238E27FC236}">
                <a16:creationId xmlns:a16="http://schemas.microsoft.com/office/drawing/2014/main" id="{00000000-0008-0000-0600-0000F802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761" name="Group 16">
            <a:extLst>
              <a:ext uri="{FF2B5EF4-FFF2-40B4-BE49-F238E27FC236}">
                <a16:creationId xmlns:a16="http://schemas.microsoft.com/office/drawing/2014/main" id="{00000000-0008-0000-0600-0000F902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762" name="Text Box 17">
              <a:extLst>
                <a:ext uri="{FF2B5EF4-FFF2-40B4-BE49-F238E27FC236}">
                  <a16:creationId xmlns:a16="http://schemas.microsoft.com/office/drawing/2014/main" id="{00000000-0008-0000-0600-0000FA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63" name="Text Box 18">
              <a:extLst>
                <a:ext uri="{FF2B5EF4-FFF2-40B4-BE49-F238E27FC236}">
                  <a16:creationId xmlns:a16="http://schemas.microsoft.com/office/drawing/2014/main" id="{00000000-0008-0000-0600-0000FB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764" name="Group 61">
          <a:extLst>
            <a:ext uri="{FF2B5EF4-FFF2-40B4-BE49-F238E27FC236}">
              <a16:creationId xmlns:a16="http://schemas.microsoft.com/office/drawing/2014/main" id="{00000000-0008-0000-0600-0000FC02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765" name="Text Box 62">
            <a:extLst>
              <a:ext uri="{FF2B5EF4-FFF2-40B4-BE49-F238E27FC236}">
                <a16:creationId xmlns:a16="http://schemas.microsoft.com/office/drawing/2014/main" id="{00000000-0008-0000-0600-0000FD02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766" name="Text Box 63">
            <a:extLst>
              <a:ext uri="{FF2B5EF4-FFF2-40B4-BE49-F238E27FC236}">
                <a16:creationId xmlns:a16="http://schemas.microsoft.com/office/drawing/2014/main" id="{00000000-0008-0000-0600-0000FE02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767" name="Group 64">
            <a:extLst>
              <a:ext uri="{FF2B5EF4-FFF2-40B4-BE49-F238E27FC236}">
                <a16:creationId xmlns:a16="http://schemas.microsoft.com/office/drawing/2014/main" id="{00000000-0008-0000-0600-0000FF02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768" name="Text Box 65">
              <a:extLst>
                <a:ext uri="{FF2B5EF4-FFF2-40B4-BE49-F238E27FC236}">
                  <a16:creationId xmlns:a16="http://schemas.microsoft.com/office/drawing/2014/main" id="{00000000-0008-0000-0600-000000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69" name="Text Box 66">
              <a:extLst>
                <a:ext uri="{FF2B5EF4-FFF2-40B4-BE49-F238E27FC236}">
                  <a16:creationId xmlns:a16="http://schemas.microsoft.com/office/drawing/2014/main" id="{00000000-0008-0000-0600-000001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770" name="Group 67">
          <a:extLst>
            <a:ext uri="{FF2B5EF4-FFF2-40B4-BE49-F238E27FC236}">
              <a16:creationId xmlns:a16="http://schemas.microsoft.com/office/drawing/2014/main" id="{00000000-0008-0000-0600-000002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771" name="Text Box 68">
            <a:extLst>
              <a:ext uri="{FF2B5EF4-FFF2-40B4-BE49-F238E27FC236}">
                <a16:creationId xmlns:a16="http://schemas.microsoft.com/office/drawing/2014/main" id="{00000000-0008-0000-0600-000003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772" name="Text Box 69">
            <a:extLst>
              <a:ext uri="{FF2B5EF4-FFF2-40B4-BE49-F238E27FC236}">
                <a16:creationId xmlns:a16="http://schemas.microsoft.com/office/drawing/2014/main" id="{00000000-0008-0000-0600-000004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773" name="Group 70">
            <a:extLst>
              <a:ext uri="{FF2B5EF4-FFF2-40B4-BE49-F238E27FC236}">
                <a16:creationId xmlns:a16="http://schemas.microsoft.com/office/drawing/2014/main" id="{00000000-0008-0000-0600-000005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774" name="Text Box 71">
              <a:extLst>
                <a:ext uri="{FF2B5EF4-FFF2-40B4-BE49-F238E27FC236}">
                  <a16:creationId xmlns:a16="http://schemas.microsoft.com/office/drawing/2014/main" id="{00000000-0008-0000-0600-000006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75" name="Text Box 72">
              <a:extLst>
                <a:ext uri="{FF2B5EF4-FFF2-40B4-BE49-F238E27FC236}">
                  <a16:creationId xmlns:a16="http://schemas.microsoft.com/office/drawing/2014/main" id="{00000000-0008-0000-0600-000007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776" name="Group 73">
          <a:extLst>
            <a:ext uri="{FF2B5EF4-FFF2-40B4-BE49-F238E27FC236}">
              <a16:creationId xmlns:a16="http://schemas.microsoft.com/office/drawing/2014/main" id="{00000000-0008-0000-0600-000008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777" name="Text Box 74">
            <a:extLst>
              <a:ext uri="{FF2B5EF4-FFF2-40B4-BE49-F238E27FC236}">
                <a16:creationId xmlns:a16="http://schemas.microsoft.com/office/drawing/2014/main" id="{00000000-0008-0000-0600-000009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778" name="Text Box 75">
            <a:extLst>
              <a:ext uri="{FF2B5EF4-FFF2-40B4-BE49-F238E27FC236}">
                <a16:creationId xmlns:a16="http://schemas.microsoft.com/office/drawing/2014/main" id="{00000000-0008-0000-0600-00000A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779" name="Group 76">
            <a:extLst>
              <a:ext uri="{FF2B5EF4-FFF2-40B4-BE49-F238E27FC236}">
                <a16:creationId xmlns:a16="http://schemas.microsoft.com/office/drawing/2014/main" id="{00000000-0008-0000-0600-00000B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780" name="Text Box 77">
              <a:extLst>
                <a:ext uri="{FF2B5EF4-FFF2-40B4-BE49-F238E27FC236}">
                  <a16:creationId xmlns:a16="http://schemas.microsoft.com/office/drawing/2014/main" id="{00000000-0008-0000-0600-00000C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81" name="Text Box 78">
              <a:extLst>
                <a:ext uri="{FF2B5EF4-FFF2-40B4-BE49-F238E27FC236}">
                  <a16:creationId xmlns:a16="http://schemas.microsoft.com/office/drawing/2014/main" id="{00000000-0008-0000-0600-00000D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782" name="Group 79">
          <a:extLst>
            <a:ext uri="{FF2B5EF4-FFF2-40B4-BE49-F238E27FC236}">
              <a16:creationId xmlns:a16="http://schemas.microsoft.com/office/drawing/2014/main" id="{00000000-0008-0000-0600-00000E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783" name="Text Box 80">
            <a:extLst>
              <a:ext uri="{FF2B5EF4-FFF2-40B4-BE49-F238E27FC236}">
                <a16:creationId xmlns:a16="http://schemas.microsoft.com/office/drawing/2014/main" id="{00000000-0008-0000-0600-00000F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784" name="Text Box 81">
            <a:extLst>
              <a:ext uri="{FF2B5EF4-FFF2-40B4-BE49-F238E27FC236}">
                <a16:creationId xmlns:a16="http://schemas.microsoft.com/office/drawing/2014/main" id="{00000000-0008-0000-0600-000010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785" name="Group 82">
            <a:extLst>
              <a:ext uri="{FF2B5EF4-FFF2-40B4-BE49-F238E27FC236}">
                <a16:creationId xmlns:a16="http://schemas.microsoft.com/office/drawing/2014/main" id="{00000000-0008-0000-0600-000011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786" name="Text Box 83">
              <a:extLst>
                <a:ext uri="{FF2B5EF4-FFF2-40B4-BE49-F238E27FC236}">
                  <a16:creationId xmlns:a16="http://schemas.microsoft.com/office/drawing/2014/main" id="{00000000-0008-0000-0600-000012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87" name="Text Box 84">
              <a:extLst>
                <a:ext uri="{FF2B5EF4-FFF2-40B4-BE49-F238E27FC236}">
                  <a16:creationId xmlns:a16="http://schemas.microsoft.com/office/drawing/2014/main" id="{00000000-0008-0000-0600-000013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788" name="Group 85">
          <a:extLst>
            <a:ext uri="{FF2B5EF4-FFF2-40B4-BE49-F238E27FC236}">
              <a16:creationId xmlns:a16="http://schemas.microsoft.com/office/drawing/2014/main" id="{00000000-0008-0000-0600-000014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789" name="Text Box 86">
            <a:extLst>
              <a:ext uri="{FF2B5EF4-FFF2-40B4-BE49-F238E27FC236}">
                <a16:creationId xmlns:a16="http://schemas.microsoft.com/office/drawing/2014/main" id="{00000000-0008-0000-0600-000015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790" name="Text Box 87">
            <a:extLst>
              <a:ext uri="{FF2B5EF4-FFF2-40B4-BE49-F238E27FC236}">
                <a16:creationId xmlns:a16="http://schemas.microsoft.com/office/drawing/2014/main" id="{00000000-0008-0000-0600-000016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791" name="Group 88">
            <a:extLst>
              <a:ext uri="{FF2B5EF4-FFF2-40B4-BE49-F238E27FC236}">
                <a16:creationId xmlns:a16="http://schemas.microsoft.com/office/drawing/2014/main" id="{00000000-0008-0000-0600-000017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792" name="Text Box 89">
              <a:extLst>
                <a:ext uri="{FF2B5EF4-FFF2-40B4-BE49-F238E27FC236}">
                  <a16:creationId xmlns:a16="http://schemas.microsoft.com/office/drawing/2014/main" id="{00000000-0008-0000-0600-000018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93" name="Text Box 90">
              <a:extLst>
                <a:ext uri="{FF2B5EF4-FFF2-40B4-BE49-F238E27FC236}">
                  <a16:creationId xmlns:a16="http://schemas.microsoft.com/office/drawing/2014/main" id="{00000000-0008-0000-0600-000019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794" name="Group 91">
          <a:extLst>
            <a:ext uri="{FF2B5EF4-FFF2-40B4-BE49-F238E27FC236}">
              <a16:creationId xmlns:a16="http://schemas.microsoft.com/office/drawing/2014/main" id="{00000000-0008-0000-0600-00001A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795" name="Text Box 92">
            <a:extLst>
              <a:ext uri="{FF2B5EF4-FFF2-40B4-BE49-F238E27FC236}">
                <a16:creationId xmlns:a16="http://schemas.microsoft.com/office/drawing/2014/main" id="{00000000-0008-0000-0600-00001B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796" name="Text Box 93">
            <a:extLst>
              <a:ext uri="{FF2B5EF4-FFF2-40B4-BE49-F238E27FC236}">
                <a16:creationId xmlns:a16="http://schemas.microsoft.com/office/drawing/2014/main" id="{00000000-0008-0000-0600-00001C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797" name="Group 94">
            <a:extLst>
              <a:ext uri="{FF2B5EF4-FFF2-40B4-BE49-F238E27FC236}">
                <a16:creationId xmlns:a16="http://schemas.microsoft.com/office/drawing/2014/main" id="{00000000-0008-0000-0600-00001D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798" name="Text Box 95">
              <a:extLst>
                <a:ext uri="{FF2B5EF4-FFF2-40B4-BE49-F238E27FC236}">
                  <a16:creationId xmlns:a16="http://schemas.microsoft.com/office/drawing/2014/main" id="{00000000-0008-0000-0600-00001E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99" name="Text Box 96">
              <a:extLst>
                <a:ext uri="{FF2B5EF4-FFF2-40B4-BE49-F238E27FC236}">
                  <a16:creationId xmlns:a16="http://schemas.microsoft.com/office/drawing/2014/main" id="{00000000-0008-0000-0600-00001F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800" name="Group 61">
          <a:extLst>
            <a:ext uri="{FF2B5EF4-FFF2-40B4-BE49-F238E27FC236}">
              <a16:creationId xmlns:a16="http://schemas.microsoft.com/office/drawing/2014/main" id="{00000000-0008-0000-0600-000020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801" name="Text Box 62">
            <a:extLst>
              <a:ext uri="{FF2B5EF4-FFF2-40B4-BE49-F238E27FC236}">
                <a16:creationId xmlns:a16="http://schemas.microsoft.com/office/drawing/2014/main" id="{00000000-0008-0000-0600-000021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02" name="Text Box 63">
            <a:extLst>
              <a:ext uri="{FF2B5EF4-FFF2-40B4-BE49-F238E27FC236}">
                <a16:creationId xmlns:a16="http://schemas.microsoft.com/office/drawing/2014/main" id="{00000000-0008-0000-0600-000022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03" name="Group 64">
            <a:extLst>
              <a:ext uri="{FF2B5EF4-FFF2-40B4-BE49-F238E27FC236}">
                <a16:creationId xmlns:a16="http://schemas.microsoft.com/office/drawing/2014/main" id="{00000000-0008-0000-0600-000023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804" name="Text Box 65">
              <a:extLst>
                <a:ext uri="{FF2B5EF4-FFF2-40B4-BE49-F238E27FC236}">
                  <a16:creationId xmlns:a16="http://schemas.microsoft.com/office/drawing/2014/main" id="{00000000-0008-0000-0600-000024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805" name="Text Box 66">
              <a:extLst>
                <a:ext uri="{FF2B5EF4-FFF2-40B4-BE49-F238E27FC236}">
                  <a16:creationId xmlns:a16="http://schemas.microsoft.com/office/drawing/2014/main" id="{00000000-0008-0000-0600-000025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806" name="Group 67">
          <a:extLst>
            <a:ext uri="{FF2B5EF4-FFF2-40B4-BE49-F238E27FC236}">
              <a16:creationId xmlns:a16="http://schemas.microsoft.com/office/drawing/2014/main" id="{00000000-0008-0000-0600-000026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807" name="Text Box 68">
            <a:extLst>
              <a:ext uri="{FF2B5EF4-FFF2-40B4-BE49-F238E27FC236}">
                <a16:creationId xmlns:a16="http://schemas.microsoft.com/office/drawing/2014/main" id="{00000000-0008-0000-0600-000027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08" name="Text Box 69">
            <a:extLst>
              <a:ext uri="{FF2B5EF4-FFF2-40B4-BE49-F238E27FC236}">
                <a16:creationId xmlns:a16="http://schemas.microsoft.com/office/drawing/2014/main" id="{00000000-0008-0000-0600-000028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09" name="Group 70">
            <a:extLst>
              <a:ext uri="{FF2B5EF4-FFF2-40B4-BE49-F238E27FC236}">
                <a16:creationId xmlns:a16="http://schemas.microsoft.com/office/drawing/2014/main" id="{00000000-0008-0000-0600-000029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810" name="Text Box 71">
              <a:extLst>
                <a:ext uri="{FF2B5EF4-FFF2-40B4-BE49-F238E27FC236}">
                  <a16:creationId xmlns:a16="http://schemas.microsoft.com/office/drawing/2014/main" id="{00000000-0008-0000-0600-00002A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811" name="Text Box 72">
              <a:extLst>
                <a:ext uri="{FF2B5EF4-FFF2-40B4-BE49-F238E27FC236}">
                  <a16:creationId xmlns:a16="http://schemas.microsoft.com/office/drawing/2014/main" id="{00000000-0008-0000-0600-00002B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812" name="Group 73">
          <a:extLst>
            <a:ext uri="{FF2B5EF4-FFF2-40B4-BE49-F238E27FC236}">
              <a16:creationId xmlns:a16="http://schemas.microsoft.com/office/drawing/2014/main" id="{00000000-0008-0000-0600-00002C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813" name="Text Box 74">
            <a:extLst>
              <a:ext uri="{FF2B5EF4-FFF2-40B4-BE49-F238E27FC236}">
                <a16:creationId xmlns:a16="http://schemas.microsoft.com/office/drawing/2014/main" id="{00000000-0008-0000-0600-00002D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14" name="Text Box 75">
            <a:extLst>
              <a:ext uri="{FF2B5EF4-FFF2-40B4-BE49-F238E27FC236}">
                <a16:creationId xmlns:a16="http://schemas.microsoft.com/office/drawing/2014/main" id="{00000000-0008-0000-0600-00002E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15" name="Group 76">
            <a:extLst>
              <a:ext uri="{FF2B5EF4-FFF2-40B4-BE49-F238E27FC236}">
                <a16:creationId xmlns:a16="http://schemas.microsoft.com/office/drawing/2014/main" id="{00000000-0008-0000-0600-00002F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816" name="Text Box 77">
              <a:extLst>
                <a:ext uri="{FF2B5EF4-FFF2-40B4-BE49-F238E27FC236}">
                  <a16:creationId xmlns:a16="http://schemas.microsoft.com/office/drawing/2014/main" id="{00000000-0008-0000-0600-000030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817" name="Text Box 78">
              <a:extLst>
                <a:ext uri="{FF2B5EF4-FFF2-40B4-BE49-F238E27FC236}">
                  <a16:creationId xmlns:a16="http://schemas.microsoft.com/office/drawing/2014/main" id="{00000000-0008-0000-0600-000031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818" name="Group 79">
          <a:extLst>
            <a:ext uri="{FF2B5EF4-FFF2-40B4-BE49-F238E27FC236}">
              <a16:creationId xmlns:a16="http://schemas.microsoft.com/office/drawing/2014/main" id="{00000000-0008-0000-0600-000032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819" name="Text Box 80">
            <a:extLst>
              <a:ext uri="{FF2B5EF4-FFF2-40B4-BE49-F238E27FC236}">
                <a16:creationId xmlns:a16="http://schemas.microsoft.com/office/drawing/2014/main" id="{00000000-0008-0000-0600-000033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20" name="Text Box 81">
            <a:extLst>
              <a:ext uri="{FF2B5EF4-FFF2-40B4-BE49-F238E27FC236}">
                <a16:creationId xmlns:a16="http://schemas.microsoft.com/office/drawing/2014/main" id="{00000000-0008-0000-0600-000034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21" name="Group 82">
            <a:extLst>
              <a:ext uri="{FF2B5EF4-FFF2-40B4-BE49-F238E27FC236}">
                <a16:creationId xmlns:a16="http://schemas.microsoft.com/office/drawing/2014/main" id="{00000000-0008-0000-0600-000035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822" name="Text Box 83">
              <a:extLst>
                <a:ext uri="{FF2B5EF4-FFF2-40B4-BE49-F238E27FC236}">
                  <a16:creationId xmlns:a16="http://schemas.microsoft.com/office/drawing/2014/main" id="{00000000-0008-0000-0600-000036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823" name="Text Box 84">
              <a:extLst>
                <a:ext uri="{FF2B5EF4-FFF2-40B4-BE49-F238E27FC236}">
                  <a16:creationId xmlns:a16="http://schemas.microsoft.com/office/drawing/2014/main" id="{00000000-0008-0000-0600-000037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824" name="Group 85">
          <a:extLst>
            <a:ext uri="{FF2B5EF4-FFF2-40B4-BE49-F238E27FC236}">
              <a16:creationId xmlns:a16="http://schemas.microsoft.com/office/drawing/2014/main" id="{00000000-0008-0000-0600-000038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825" name="Text Box 86">
            <a:extLst>
              <a:ext uri="{FF2B5EF4-FFF2-40B4-BE49-F238E27FC236}">
                <a16:creationId xmlns:a16="http://schemas.microsoft.com/office/drawing/2014/main" id="{00000000-0008-0000-0600-000039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26" name="Text Box 87">
            <a:extLst>
              <a:ext uri="{FF2B5EF4-FFF2-40B4-BE49-F238E27FC236}">
                <a16:creationId xmlns:a16="http://schemas.microsoft.com/office/drawing/2014/main" id="{00000000-0008-0000-0600-00003A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27" name="Group 88">
            <a:extLst>
              <a:ext uri="{FF2B5EF4-FFF2-40B4-BE49-F238E27FC236}">
                <a16:creationId xmlns:a16="http://schemas.microsoft.com/office/drawing/2014/main" id="{00000000-0008-0000-0600-00003B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828" name="Text Box 89">
              <a:extLst>
                <a:ext uri="{FF2B5EF4-FFF2-40B4-BE49-F238E27FC236}">
                  <a16:creationId xmlns:a16="http://schemas.microsoft.com/office/drawing/2014/main" id="{00000000-0008-0000-0600-00003C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829" name="Text Box 90">
              <a:extLst>
                <a:ext uri="{FF2B5EF4-FFF2-40B4-BE49-F238E27FC236}">
                  <a16:creationId xmlns:a16="http://schemas.microsoft.com/office/drawing/2014/main" id="{00000000-0008-0000-0600-00003D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830" name="Group 91">
          <a:extLst>
            <a:ext uri="{FF2B5EF4-FFF2-40B4-BE49-F238E27FC236}">
              <a16:creationId xmlns:a16="http://schemas.microsoft.com/office/drawing/2014/main" id="{00000000-0008-0000-0600-00003E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831" name="Text Box 92">
            <a:extLst>
              <a:ext uri="{FF2B5EF4-FFF2-40B4-BE49-F238E27FC236}">
                <a16:creationId xmlns:a16="http://schemas.microsoft.com/office/drawing/2014/main" id="{00000000-0008-0000-0600-00003F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32" name="Text Box 93">
            <a:extLst>
              <a:ext uri="{FF2B5EF4-FFF2-40B4-BE49-F238E27FC236}">
                <a16:creationId xmlns:a16="http://schemas.microsoft.com/office/drawing/2014/main" id="{00000000-0008-0000-0600-000040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33" name="Group 94">
            <a:extLst>
              <a:ext uri="{FF2B5EF4-FFF2-40B4-BE49-F238E27FC236}">
                <a16:creationId xmlns:a16="http://schemas.microsoft.com/office/drawing/2014/main" id="{00000000-0008-0000-0600-000041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834" name="Text Box 95">
              <a:extLst>
                <a:ext uri="{FF2B5EF4-FFF2-40B4-BE49-F238E27FC236}">
                  <a16:creationId xmlns:a16="http://schemas.microsoft.com/office/drawing/2014/main" id="{00000000-0008-0000-0600-000042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835" name="Text Box 96">
              <a:extLst>
                <a:ext uri="{FF2B5EF4-FFF2-40B4-BE49-F238E27FC236}">
                  <a16:creationId xmlns:a16="http://schemas.microsoft.com/office/drawing/2014/main" id="{00000000-0008-0000-0600-000043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836" name="Group 1">
          <a:extLst>
            <a:ext uri="{FF2B5EF4-FFF2-40B4-BE49-F238E27FC236}">
              <a16:creationId xmlns:a16="http://schemas.microsoft.com/office/drawing/2014/main" id="{00000000-0008-0000-0600-00004403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837" name="Text Box 2">
            <a:extLst>
              <a:ext uri="{FF2B5EF4-FFF2-40B4-BE49-F238E27FC236}">
                <a16:creationId xmlns:a16="http://schemas.microsoft.com/office/drawing/2014/main" id="{00000000-0008-0000-0600-000045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38" name="Text Box 3">
            <a:extLst>
              <a:ext uri="{FF2B5EF4-FFF2-40B4-BE49-F238E27FC236}">
                <a16:creationId xmlns:a16="http://schemas.microsoft.com/office/drawing/2014/main" id="{00000000-0008-0000-0600-000046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39" name="Group 4">
            <a:extLst>
              <a:ext uri="{FF2B5EF4-FFF2-40B4-BE49-F238E27FC236}">
                <a16:creationId xmlns:a16="http://schemas.microsoft.com/office/drawing/2014/main" id="{00000000-0008-0000-0600-000047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840" name="Text Box 5">
              <a:extLst>
                <a:ext uri="{FF2B5EF4-FFF2-40B4-BE49-F238E27FC236}">
                  <a16:creationId xmlns:a16="http://schemas.microsoft.com/office/drawing/2014/main" id="{00000000-0008-0000-0600-000048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841" name="Text Box 6">
              <a:extLst>
                <a:ext uri="{FF2B5EF4-FFF2-40B4-BE49-F238E27FC236}">
                  <a16:creationId xmlns:a16="http://schemas.microsoft.com/office/drawing/2014/main" id="{00000000-0008-0000-0600-000049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842" name="Group 7">
          <a:extLst>
            <a:ext uri="{FF2B5EF4-FFF2-40B4-BE49-F238E27FC236}">
              <a16:creationId xmlns:a16="http://schemas.microsoft.com/office/drawing/2014/main" id="{00000000-0008-0000-0600-00004A03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843" name="Text Box 8">
            <a:extLst>
              <a:ext uri="{FF2B5EF4-FFF2-40B4-BE49-F238E27FC236}">
                <a16:creationId xmlns:a16="http://schemas.microsoft.com/office/drawing/2014/main" id="{00000000-0008-0000-0600-00004B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44" name="Text Box 9">
            <a:extLst>
              <a:ext uri="{FF2B5EF4-FFF2-40B4-BE49-F238E27FC236}">
                <a16:creationId xmlns:a16="http://schemas.microsoft.com/office/drawing/2014/main" id="{00000000-0008-0000-0600-00004C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45" name="Group 10">
            <a:extLst>
              <a:ext uri="{FF2B5EF4-FFF2-40B4-BE49-F238E27FC236}">
                <a16:creationId xmlns:a16="http://schemas.microsoft.com/office/drawing/2014/main" id="{00000000-0008-0000-0600-00004D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846" name="Text Box 11">
              <a:extLst>
                <a:ext uri="{FF2B5EF4-FFF2-40B4-BE49-F238E27FC236}">
                  <a16:creationId xmlns:a16="http://schemas.microsoft.com/office/drawing/2014/main" id="{00000000-0008-0000-0600-00004E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847" name="Text Box 12">
              <a:extLst>
                <a:ext uri="{FF2B5EF4-FFF2-40B4-BE49-F238E27FC236}">
                  <a16:creationId xmlns:a16="http://schemas.microsoft.com/office/drawing/2014/main" id="{00000000-0008-0000-0600-00004F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848" name="Group 13">
          <a:extLst>
            <a:ext uri="{FF2B5EF4-FFF2-40B4-BE49-F238E27FC236}">
              <a16:creationId xmlns:a16="http://schemas.microsoft.com/office/drawing/2014/main" id="{00000000-0008-0000-0600-00005003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849" name="Text Box 14">
            <a:extLst>
              <a:ext uri="{FF2B5EF4-FFF2-40B4-BE49-F238E27FC236}">
                <a16:creationId xmlns:a16="http://schemas.microsoft.com/office/drawing/2014/main" id="{00000000-0008-0000-0600-000051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50" name="Text Box 15">
            <a:extLst>
              <a:ext uri="{FF2B5EF4-FFF2-40B4-BE49-F238E27FC236}">
                <a16:creationId xmlns:a16="http://schemas.microsoft.com/office/drawing/2014/main" id="{00000000-0008-0000-0600-000052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51" name="Group 16">
            <a:extLst>
              <a:ext uri="{FF2B5EF4-FFF2-40B4-BE49-F238E27FC236}">
                <a16:creationId xmlns:a16="http://schemas.microsoft.com/office/drawing/2014/main" id="{00000000-0008-0000-0600-000053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852" name="Text Box 17">
              <a:extLst>
                <a:ext uri="{FF2B5EF4-FFF2-40B4-BE49-F238E27FC236}">
                  <a16:creationId xmlns:a16="http://schemas.microsoft.com/office/drawing/2014/main" id="{00000000-0008-0000-0600-000054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853" name="Text Box 18">
              <a:extLst>
                <a:ext uri="{FF2B5EF4-FFF2-40B4-BE49-F238E27FC236}">
                  <a16:creationId xmlns:a16="http://schemas.microsoft.com/office/drawing/2014/main" id="{00000000-0008-0000-0600-000055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854" name="Group 61">
          <a:extLst>
            <a:ext uri="{FF2B5EF4-FFF2-40B4-BE49-F238E27FC236}">
              <a16:creationId xmlns:a16="http://schemas.microsoft.com/office/drawing/2014/main" id="{00000000-0008-0000-0600-000056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855" name="Text Box 62">
            <a:extLst>
              <a:ext uri="{FF2B5EF4-FFF2-40B4-BE49-F238E27FC236}">
                <a16:creationId xmlns:a16="http://schemas.microsoft.com/office/drawing/2014/main" id="{00000000-0008-0000-0600-000057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56" name="Text Box 63">
            <a:extLst>
              <a:ext uri="{FF2B5EF4-FFF2-40B4-BE49-F238E27FC236}">
                <a16:creationId xmlns:a16="http://schemas.microsoft.com/office/drawing/2014/main" id="{00000000-0008-0000-0600-000058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57" name="Group 64">
            <a:extLst>
              <a:ext uri="{FF2B5EF4-FFF2-40B4-BE49-F238E27FC236}">
                <a16:creationId xmlns:a16="http://schemas.microsoft.com/office/drawing/2014/main" id="{00000000-0008-0000-0600-000059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858" name="Text Box 65">
              <a:extLst>
                <a:ext uri="{FF2B5EF4-FFF2-40B4-BE49-F238E27FC236}">
                  <a16:creationId xmlns:a16="http://schemas.microsoft.com/office/drawing/2014/main" id="{00000000-0008-0000-0600-00005A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859" name="Text Box 66">
              <a:extLst>
                <a:ext uri="{FF2B5EF4-FFF2-40B4-BE49-F238E27FC236}">
                  <a16:creationId xmlns:a16="http://schemas.microsoft.com/office/drawing/2014/main" id="{00000000-0008-0000-0600-00005B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860" name="Group 67">
          <a:extLst>
            <a:ext uri="{FF2B5EF4-FFF2-40B4-BE49-F238E27FC236}">
              <a16:creationId xmlns:a16="http://schemas.microsoft.com/office/drawing/2014/main" id="{00000000-0008-0000-0600-00005C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861" name="Text Box 68">
            <a:extLst>
              <a:ext uri="{FF2B5EF4-FFF2-40B4-BE49-F238E27FC236}">
                <a16:creationId xmlns:a16="http://schemas.microsoft.com/office/drawing/2014/main" id="{00000000-0008-0000-0600-00005D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62" name="Text Box 69">
            <a:extLst>
              <a:ext uri="{FF2B5EF4-FFF2-40B4-BE49-F238E27FC236}">
                <a16:creationId xmlns:a16="http://schemas.microsoft.com/office/drawing/2014/main" id="{00000000-0008-0000-0600-00005E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63" name="Group 70">
            <a:extLst>
              <a:ext uri="{FF2B5EF4-FFF2-40B4-BE49-F238E27FC236}">
                <a16:creationId xmlns:a16="http://schemas.microsoft.com/office/drawing/2014/main" id="{00000000-0008-0000-0600-00005F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864" name="Text Box 71">
              <a:extLst>
                <a:ext uri="{FF2B5EF4-FFF2-40B4-BE49-F238E27FC236}">
                  <a16:creationId xmlns:a16="http://schemas.microsoft.com/office/drawing/2014/main" id="{00000000-0008-0000-0600-000060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865" name="Text Box 72">
              <a:extLst>
                <a:ext uri="{FF2B5EF4-FFF2-40B4-BE49-F238E27FC236}">
                  <a16:creationId xmlns:a16="http://schemas.microsoft.com/office/drawing/2014/main" id="{00000000-0008-0000-0600-000061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866" name="Group 73">
          <a:extLst>
            <a:ext uri="{FF2B5EF4-FFF2-40B4-BE49-F238E27FC236}">
              <a16:creationId xmlns:a16="http://schemas.microsoft.com/office/drawing/2014/main" id="{00000000-0008-0000-0600-000062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867" name="Text Box 74">
            <a:extLst>
              <a:ext uri="{FF2B5EF4-FFF2-40B4-BE49-F238E27FC236}">
                <a16:creationId xmlns:a16="http://schemas.microsoft.com/office/drawing/2014/main" id="{00000000-0008-0000-0600-000063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68" name="Text Box 75">
            <a:extLst>
              <a:ext uri="{FF2B5EF4-FFF2-40B4-BE49-F238E27FC236}">
                <a16:creationId xmlns:a16="http://schemas.microsoft.com/office/drawing/2014/main" id="{00000000-0008-0000-0600-000064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69" name="Group 76">
            <a:extLst>
              <a:ext uri="{FF2B5EF4-FFF2-40B4-BE49-F238E27FC236}">
                <a16:creationId xmlns:a16="http://schemas.microsoft.com/office/drawing/2014/main" id="{00000000-0008-0000-0600-000065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870" name="Text Box 77">
              <a:extLst>
                <a:ext uri="{FF2B5EF4-FFF2-40B4-BE49-F238E27FC236}">
                  <a16:creationId xmlns:a16="http://schemas.microsoft.com/office/drawing/2014/main" id="{00000000-0008-0000-0600-000066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871" name="Text Box 78">
              <a:extLst>
                <a:ext uri="{FF2B5EF4-FFF2-40B4-BE49-F238E27FC236}">
                  <a16:creationId xmlns:a16="http://schemas.microsoft.com/office/drawing/2014/main" id="{00000000-0008-0000-0600-000067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872" name="Group 79">
          <a:extLst>
            <a:ext uri="{FF2B5EF4-FFF2-40B4-BE49-F238E27FC236}">
              <a16:creationId xmlns:a16="http://schemas.microsoft.com/office/drawing/2014/main" id="{00000000-0008-0000-0600-000068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873" name="Text Box 80">
            <a:extLst>
              <a:ext uri="{FF2B5EF4-FFF2-40B4-BE49-F238E27FC236}">
                <a16:creationId xmlns:a16="http://schemas.microsoft.com/office/drawing/2014/main" id="{00000000-0008-0000-0600-000069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74" name="Text Box 81">
            <a:extLst>
              <a:ext uri="{FF2B5EF4-FFF2-40B4-BE49-F238E27FC236}">
                <a16:creationId xmlns:a16="http://schemas.microsoft.com/office/drawing/2014/main" id="{00000000-0008-0000-0600-00006A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75" name="Group 82">
            <a:extLst>
              <a:ext uri="{FF2B5EF4-FFF2-40B4-BE49-F238E27FC236}">
                <a16:creationId xmlns:a16="http://schemas.microsoft.com/office/drawing/2014/main" id="{00000000-0008-0000-0600-00006B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876" name="Text Box 83">
              <a:extLst>
                <a:ext uri="{FF2B5EF4-FFF2-40B4-BE49-F238E27FC236}">
                  <a16:creationId xmlns:a16="http://schemas.microsoft.com/office/drawing/2014/main" id="{00000000-0008-0000-0600-00006C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877" name="Text Box 84">
              <a:extLst>
                <a:ext uri="{FF2B5EF4-FFF2-40B4-BE49-F238E27FC236}">
                  <a16:creationId xmlns:a16="http://schemas.microsoft.com/office/drawing/2014/main" id="{00000000-0008-0000-0600-00006D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878" name="Group 85">
          <a:extLst>
            <a:ext uri="{FF2B5EF4-FFF2-40B4-BE49-F238E27FC236}">
              <a16:creationId xmlns:a16="http://schemas.microsoft.com/office/drawing/2014/main" id="{00000000-0008-0000-0600-00006E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879" name="Text Box 86">
            <a:extLst>
              <a:ext uri="{FF2B5EF4-FFF2-40B4-BE49-F238E27FC236}">
                <a16:creationId xmlns:a16="http://schemas.microsoft.com/office/drawing/2014/main" id="{00000000-0008-0000-0600-00006F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80" name="Text Box 87">
            <a:extLst>
              <a:ext uri="{FF2B5EF4-FFF2-40B4-BE49-F238E27FC236}">
                <a16:creationId xmlns:a16="http://schemas.microsoft.com/office/drawing/2014/main" id="{00000000-0008-0000-0600-000070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81" name="Group 88">
            <a:extLst>
              <a:ext uri="{FF2B5EF4-FFF2-40B4-BE49-F238E27FC236}">
                <a16:creationId xmlns:a16="http://schemas.microsoft.com/office/drawing/2014/main" id="{00000000-0008-0000-0600-000071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882" name="Text Box 89">
              <a:extLst>
                <a:ext uri="{FF2B5EF4-FFF2-40B4-BE49-F238E27FC236}">
                  <a16:creationId xmlns:a16="http://schemas.microsoft.com/office/drawing/2014/main" id="{00000000-0008-0000-0600-000072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883" name="Text Box 90">
              <a:extLst>
                <a:ext uri="{FF2B5EF4-FFF2-40B4-BE49-F238E27FC236}">
                  <a16:creationId xmlns:a16="http://schemas.microsoft.com/office/drawing/2014/main" id="{00000000-0008-0000-0600-000073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884" name="Group 91">
          <a:extLst>
            <a:ext uri="{FF2B5EF4-FFF2-40B4-BE49-F238E27FC236}">
              <a16:creationId xmlns:a16="http://schemas.microsoft.com/office/drawing/2014/main" id="{00000000-0008-0000-0600-000074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885" name="Text Box 92">
            <a:extLst>
              <a:ext uri="{FF2B5EF4-FFF2-40B4-BE49-F238E27FC236}">
                <a16:creationId xmlns:a16="http://schemas.microsoft.com/office/drawing/2014/main" id="{00000000-0008-0000-0600-000075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86" name="Text Box 93">
            <a:extLst>
              <a:ext uri="{FF2B5EF4-FFF2-40B4-BE49-F238E27FC236}">
                <a16:creationId xmlns:a16="http://schemas.microsoft.com/office/drawing/2014/main" id="{00000000-0008-0000-0600-000076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87" name="Group 94">
            <a:extLst>
              <a:ext uri="{FF2B5EF4-FFF2-40B4-BE49-F238E27FC236}">
                <a16:creationId xmlns:a16="http://schemas.microsoft.com/office/drawing/2014/main" id="{00000000-0008-0000-0600-000077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888" name="Text Box 95">
              <a:extLst>
                <a:ext uri="{FF2B5EF4-FFF2-40B4-BE49-F238E27FC236}">
                  <a16:creationId xmlns:a16="http://schemas.microsoft.com/office/drawing/2014/main" id="{00000000-0008-0000-0600-000078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889" name="Text Box 96">
              <a:extLst>
                <a:ext uri="{FF2B5EF4-FFF2-40B4-BE49-F238E27FC236}">
                  <a16:creationId xmlns:a16="http://schemas.microsoft.com/office/drawing/2014/main" id="{00000000-0008-0000-0600-000079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890" name="Group 61">
          <a:extLst>
            <a:ext uri="{FF2B5EF4-FFF2-40B4-BE49-F238E27FC236}">
              <a16:creationId xmlns:a16="http://schemas.microsoft.com/office/drawing/2014/main" id="{00000000-0008-0000-0600-00007A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891" name="Text Box 62">
            <a:extLst>
              <a:ext uri="{FF2B5EF4-FFF2-40B4-BE49-F238E27FC236}">
                <a16:creationId xmlns:a16="http://schemas.microsoft.com/office/drawing/2014/main" id="{00000000-0008-0000-0600-00007B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92" name="Text Box 63">
            <a:extLst>
              <a:ext uri="{FF2B5EF4-FFF2-40B4-BE49-F238E27FC236}">
                <a16:creationId xmlns:a16="http://schemas.microsoft.com/office/drawing/2014/main" id="{00000000-0008-0000-0600-00007C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93" name="Group 64">
            <a:extLst>
              <a:ext uri="{FF2B5EF4-FFF2-40B4-BE49-F238E27FC236}">
                <a16:creationId xmlns:a16="http://schemas.microsoft.com/office/drawing/2014/main" id="{00000000-0008-0000-0600-00007D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894" name="Text Box 65">
              <a:extLst>
                <a:ext uri="{FF2B5EF4-FFF2-40B4-BE49-F238E27FC236}">
                  <a16:creationId xmlns:a16="http://schemas.microsoft.com/office/drawing/2014/main" id="{00000000-0008-0000-0600-00007E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895" name="Text Box 66">
              <a:extLst>
                <a:ext uri="{FF2B5EF4-FFF2-40B4-BE49-F238E27FC236}">
                  <a16:creationId xmlns:a16="http://schemas.microsoft.com/office/drawing/2014/main" id="{00000000-0008-0000-0600-00007F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896" name="Group 67">
          <a:extLst>
            <a:ext uri="{FF2B5EF4-FFF2-40B4-BE49-F238E27FC236}">
              <a16:creationId xmlns:a16="http://schemas.microsoft.com/office/drawing/2014/main" id="{00000000-0008-0000-0600-000080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897" name="Text Box 68">
            <a:extLst>
              <a:ext uri="{FF2B5EF4-FFF2-40B4-BE49-F238E27FC236}">
                <a16:creationId xmlns:a16="http://schemas.microsoft.com/office/drawing/2014/main" id="{00000000-0008-0000-0600-000081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898" name="Text Box 69">
            <a:extLst>
              <a:ext uri="{FF2B5EF4-FFF2-40B4-BE49-F238E27FC236}">
                <a16:creationId xmlns:a16="http://schemas.microsoft.com/office/drawing/2014/main" id="{00000000-0008-0000-0600-000082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899" name="Group 70">
            <a:extLst>
              <a:ext uri="{FF2B5EF4-FFF2-40B4-BE49-F238E27FC236}">
                <a16:creationId xmlns:a16="http://schemas.microsoft.com/office/drawing/2014/main" id="{00000000-0008-0000-0600-000083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00" name="Text Box 71">
              <a:extLst>
                <a:ext uri="{FF2B5EF4-FFF2-40B4-BE49-F238E27FC236}">
                  <a16:creationId xmlns:a16="http://schemas.microsoft.com/office/drawing/2014/main" id="{00000000-0008-0000-0600-000084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01" name="Text Box 72">
              <a:extLst>
                <a:ext uri="{FF2B5EF4-FFF2-40B4-BE49-F238E27FC236}">
                  <a16:creationId xmlns:a16="http://schemas.microsoft.com/office/drawing/2014/main" id="{00000000-0008-0000-0600-000085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902" name="Group 73">
          <a:extLst>
            <a:ext uri="{FF2B5EF4-FFF2-40B4-BE49-F238E27FC236}">
              <a16:creationId xmlns:a16="http://schemas.microsoft.com/office/drawing/2014/main" id="{00000000-0008-0000-0600-000086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903" name="Text Box 74">
            <a:extLst>
              <a:ext uri="{FF2B5EF4-FFF2-40B4-BE49-F238E27FC236}">
                <a16:creationId xmlns:a16="http://schemas.microsoft.com/office/drawing/2014/main" id="{00000000-0008-0000-0600-000087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904" name="Text Box 75">
            <a:extLst>
              <a:ext uri="{FF2B5EF4-FFF2-40B4-BE49-F238E27FC236}">
                <a16:creationId xmlns:a16="http://schemas.microsoft.com/office/drawing/2014/main" id="{00000000-0008-0000-0600-000088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905" name="Group 76">
            <a:extLst>
              <a:ext uri="{FF2B5EF4-FFF2-40B4-BE49-F238E27FC236}">
                <a16:creationId xmlns:a16="http://schemas.microsoft.com/office/drawing/2014/main" id="{00000000-0008-0000-0600-000089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06" name="Text Box 77">
              <a:extLst>
                <a:ext uri="{FF2B5EF4-FFF2-40B4-BE49-F238E27FC236}">
                  <a16:creationId xmlns:a16="http://schemas.microsoft.com/office/drawing/2014/main" id="{00000000-0008-0000-0600-00008A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07" name="Text Box 78">
              <a:extLst>
                <a:ext uri="{FF2B5EF4-FFF2-40B4-BE49-F238E27FC236}">
                  <a16:creationId xmlns:a16="http://schemas.microsoft.com/office/drawing/2014/main" id="{00000000-0008-0000-0600-00008B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908" name="Group 79">
          <a:extLst>
            <a:ext uri="{FF2B5EF4-FFF2-40B4-BE49-F238E27FC236}">
              <a16:creationId xmlns:a16="http://schemas.microsoft.com/office/drawing/2014/main" id="{00000000-0008-0000-0600-00008C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909" name="Text Box 80">
            <a:extLst>
              <a:ext uri="{FF2B5EF4-FFF2-40B4-BE49-F238E27FC236}">
                <a16:creationId xmlns:a16="http://schemas.microsoft.com/office/drawing/2014/main" id="{00000000-0008-0000-0600-00008D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910" name="Text Box 81">
            <a:extLst>
              <a:ext uri="{FF2B5EF4-FFF2-40B4-BE49-F238E27FC236}">
                <a16:creationId xmlns:a16="http://schemas.microsoft.com/office/drawing/2014/main" id="{00000000-0008-0000-0600-00008E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911" name="Group 82">
            <a:extLst>
              <a:ext uri="{FF2B5EF4-FFF2-40B4-BE49-F238E27FC236}">
                <a16:creationId xmlns:a16="http://schemas.microsoft.com/office/drawing/2014/main" id="{00000000-0008-0000-0600-00008F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12" name="Text Box 83">
              <a:extLst>
                <a:ext uri="{FF2B5EF4-FFF2-40B4-BE49-F238E27FC236}">
                  <a16:creationId xmlns:a16="http://schemas.microsoft.com/office/drawing/2014/main" id="{00000000-0008-0000-0600-000090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13" name="Text Box 84">
              <a:extLst>
                <a:ext uri="{FF2B5EF4-FFF2-40B4-BE49-F238E27FC236}">
                  <a16:creationId xmlns:a16="http://schemas.microsoft.com/office/drawing/2014/main" id="{00000000-0008-0000-0600-000091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914" name="Group 85">
          <a:extLst>
            <a:ext uri="{FF2B5EF4-FFF2-40B4-BE49-F238E27FC236}">
              <a16:creationId xmlns:a16="http://schemas.microsoft.com/office/drawing/2014/main" id="{00000000-0008-0000-0600-000092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915" name="Text Box 86">
            <a:extLst>
              <a:ext uri="{FF2B5EF4-FFF2-40B4-BE49-F238E27FC236}">
                <a16:creationId xmlns:a16="http://schemas.microsoft.com/office/drawing/2014/main" id="{00000000-0008-0000-0600-000093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916" name="Text Box 87">
            <a:extLst>
              <a:ext uri="{FF2B5EF4-FFF2-40B4-BE49-F238E27FC236}">
                <a16:creationId xmlns:a16="http://schemas.microsoft.com/office/drawing/2014/main" id="{00000000-0008-0000-0600-000094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917" name="Group 88">
            <a:extLst>
              <a:ext uri="{FF2B5EF4-FFF2-40B4-BE49-F238E27FC236}">
                <a16:creationId xmlns:a16="http://schemas.microsoft.com/office/drawing/2014/main" id="{00000000-0008-0000-0600-000095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18" name="Text Box 89">
              <a:extLst>
                <a:ext uri="{FF2B5EF4-FFF2-40B4-BE49-F238E27FC236}">
                  <a16:creationId xmlns:a16="http://schemas.microsoft.com/office/drawing/2014/main" id="{00000000-0008-0000-0600-000096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19" name="Text Box 90">
              <a:extLst>
                <a:ext uri="{FF2B5EF4-FFF2-40B4-BE49-F238E27FC236}">
                  <a16:creationId xmlns:a16="http://schemas.microsoft.com/office/drawing/2014/main" id="{00000000-0008-0000-0600-000097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920" name="Group 91">
          <a:extLst>
            <a:ext uri="{FF2B5EF4-FFF2-40B4-BE49-F238E27FC236}">
              <a16:creationId xmlns:a16="http://schemas.microsoft.com/office/drawing/2014/main" id="{00000000-0008-0000-0600-000098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921" name="Text Box 92">
            <a:extLst>
              <a:ext uri="{FF2B5EF4-FFF2-40B4-BE49-F238E27FC236}">
                <a16:creationId xmlns:a16="http://schemas.microsoft.com/office/drawing/2014/main" id="{00000000-0008-0000-0600-000099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922" name="Text Box 93">
            <a:extLst>
              <a:ext uri="{FF2B5EF4-FFF2-40B4-BE49-F238E27FC236}">
                <a16:creationId xmlns:a16="http://schemas.microsoft.com/office/drawing/2014/main" id="{00000000-0008-0000-0600-00009A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923" name="Group 94">
            <a:extLst>
              <a:ext uri="{FF2B5EF4-FFF2-40B4-BE49-F238E27FC236}">
                <a16:creationId xmlns:a16="http://schemas.microsoft.com/office/drawing/2014/main" id="{00000000-0008-0000-0600-00009B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24" name="Text Box 95">
              <a:extLst>
                <a:ext uri="{FF2B5EF4-FFF2-40B4-BE49-F238E27FC236}">
                  <a16:creationId xmlns:a16="http://schemas.microsoft.com/office/drawing/2014/main" id="{00000000-0008-0000-0600-00009C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25" name="Text Box 96">
              <a:extLst>
                <a:ext uri="{FF2B5EF4-FFF2-40B4-BE49-F238E27FC236}">
                  <a16:creationId xmlns:a16="http://schemas.microsoft.com/office/drawing/2014/main" id="{00000000-0008-0000-0600-00009D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926" name="Group 1">
          <a:extLst>
            <a:ext uri="{FF2B5EF4-FFF2-40B4-BE49-F238E27FC236}">
              <a16:creationId xmlns:a16="http://schemas.microsoft.com/office/drawing/2014/main" id="{00000000-0008-0000-0600-00009E03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927" name="Text Box 2">
            <a:extLst>
              <a:ext uri="{FF2B5EF4-FFF2-40B4-BE49-F238E27FC236}">
                <a16:creationId xmlns:a16="http://schemas.microsoft.com/office/drawing/2014/main" id="{00000000-0008-0000-0600-00009F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928" name="Text Box 3">
            <a:extLst>
              <a:ext uri="{FF2B5EF4-FFF2-40B4-BE49-F238E27FC236}">
                <a16:creationId xmlns:a16="http://schemas.microsoft.com/office/drawing/2014/main" id="{00000000-0008-0000-0600-0000A0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929" name="Group 4">
            <a:extLst>
              <a:ext uri="{FF2B5EF4-FFF2-40B4-BE49-F238E27FC236}">
                <a16:creationId xmlns:a16="http://schemas.microsoft.com/office/drawing/2014/main" id="{00000000-0008-0000-0600-0000A1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30" name="Text Box 5">
              <a:extLst>
                <a:ext uri="{FF2B5EF4-FFF2-40B4-BE49-F238E27FC236}">
                  <a16:creationId xmlns:a16="http://schemas.microsoft.com/office/drawing/2014/main" id="{00000000-0008-0000-0600-0000A2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31" name="Text Box 6">
              <a:extLst>
                <a:ext uri="{FF2B5EF4-FFF2-40B4-BE49-F238E27FC236}">
                  <a16:creationId xmlns:a16="http://schemas.microsoft.com/office/drawing/2014/main" id="{00000000-0008-0000-0600-0000A3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932" name="Group 7">
          <a:extLst>
            <a:ext uri="{FF2B5EF4-FFF2-40B4-BE49-F238E27FC236}">
              <a16:creationId xmlns:a16="http://schemas.microsoft.com/office/drawing/2014/main" id="{00000000-0008-0000-0600-0000A403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933" name="Text Box 8">
            <a:extLst>
              <a:ext uri="{FF2B5EF4-FFF2-40B4-BE49-F238E27FC236}">
                <a16:creationId xmlns:a16="http://schemas.microsoft.com/office/drawing/2014/main" id="{00000000-0008-0000-0600-0000A5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934" name="Text Box 9">
            <a:extLst>
              <a:ext uri="{FF2B5EF4-FFF2-40B4-BE49-F238E27FC236}">
                <a16:creationId xmlns:a16="http://schemas.microsoft.com/office/drawing/2014/main" id="{00000000-0008-0000-0600-0000A6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935" name="Group 10">
            <a:extLst>
              <a:ext uri="{FF2B5EF4-FFF2-40B4-BE49-F238E27FC236}">
                <a16:creationId xmlns:a16="http://schemas.microsoft.com/office/drawing/2014/main" id="{00000000-0008-0000-0600-0000A7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36" name="Text Box 11">
              <a:extLst>
                <a:ext uri="{FF2B5EF4-FFF2-40B4-BE49-F238E27FC236}">
                  <a16:creationId xmlns:a16="http://schemas.microsoft.com/office/drawing/2014/main" id="{00000000-0008-0000-0600-0000A8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37" name="Text Box 12">
              <a:extLst>
                <a:ext uri="{FF2B5EF4-FFF2-40B4-BE49-F238E27FC236}">
                  <a16:creationId xmlns:a16="http://schemas.microsoft.com/office/drawing/2014/main" id="{00000000-0008-0000-0600-0000A9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938" name="Group 13">
          <a:extLst>
            <a:ext uri="{FF2B5EF4-FFF2-40B4-BE49-F238E27FC236}">
              <a16:creationId xmlns:a16="http://schemas.microsoft.com/office/drawing/2014/main" id="{00000000-0008-0000-0600-0000AA03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939" name="Text Box 14">
            <a:extLst>
              <a:ext uri="{FF2B5EF4-FFF2-40B4-BE49-F238E27FC236}">
                <a16:creationId xmlns:a16="http://schemas.microsoft.com/office/drawing/2014/main" id="{00000000-0008-0000-0600-0000AB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940" name="Text Box 15">
            <a:extLst>
              <a:ext uri="{FF2B5EF4-FFF2-40B4-BE49-F238E27FC236}">
                <a16:creationId xmlns:a16="http://schemas.microsoft.com/office/drawing/2014/main" id="{00000000-0008-0000-0600-0000AC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941" name="Group 16">
            <a:extLst>
              <a:ext uri="{FF2B5EF4-FFF2-40B4-BE49-F238E27FC236}">
                <a16:creationId xmlns:a16="http://schemas.microsoft.com/office/drawing/2014/main" id="{00000000-0008-0000-0600-0000AD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42" name="Text Box 17">
              <a:extLst>
                <a:ext uri="{FF2B5EF4-FFF2-40B4-BE49-F238E27FC236}">
                  <a16:creationId xmlns:a16="http://schemas.microsoft.com/office/drawing/2014/main" id="{00000000-0008-0000-0600-0000AE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43" name="Text Box 18">
              <a:extLst>
                <a:ext uri="{FF2B5EF4-FFF2-40B4-BE49-F238E27FC236}">
                  <a16:creationId xmlns:a16="http://schemas.microsoft.com/office/drawing/2014/main" id="{00000000-0008-0000-0600-0000AF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944" name="Group 61">
          <a:extLst>
            <a:ext uri="{FF2B5EF4-FFF2-40B4-BE49-F238E27FC236}">
              <a16:creationId xmlns:a16="http://schemas.microsoft.com/office/drawing/2014/main" id="{00000000-0008-0000-0600-0000B0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945" name="Text Box 62">
            <a:extLst>
              <a:ext uri="{FF2B5EF4-FFF2-40B4-BE49-F238E27FC236}">
                <a16:creationId xmlns:a16="http://schemas.microsoft.com/office/drawing/2014/main" id="{00000000-0008-0000-0600-0000B1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946" name="Text Box 63">
            <a:extLst>
              <a:ext uri="{FF2B5EF4-FFF2-40B4-BE49-F238E27FC236}">
                <a16:creationId xmlns:a16="http://schemas.microsoft.com/office/drawing/2014/main" id="{00000000-0008-0000-0600-0000B2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947" name="Group 64">
            <a:extLst>
              <a:ext uri="{FF2B5EF4-FFF2-40B4-BE49-F238E27FC236}">
                <a16:creationId xmlns:a16="http://schemas.microsoft.com/office/drawing/2014/main" id="{00000000-0008-0000-0600-0000B3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48" name="Text Box 65">
              <a:extLst>
                <a:ext uri="{FF2B5EF4-FFF2-40B4-BE49-F238E27FC236}">
                  <a16:creationId xmlns:a16="http://schemas.microsoft.com/office/drawing/2014/main" id="{00000000-0008-0000-0600-0000B4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49" name="Text Box 66">
              <a:extLst>
                <a:ext uri="{FF2B5EF4-FFF2-40B4-BE49-F238E27FC236}">
                  <a16:creationId xmlns:a16="http://schemas.microsoft.com/office/drawing/2014/main" id="{00000000-0008-0000-0600-0000B5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950" name="Group 67">
          <a:extLst>
            <a:ext uri="{FF2B5EF4-FFF2-40B4-BE49-F238E27FC236}">
              <a16:creationId xmlns:a16="http://schemas.microsoft.com/office/drawing/2014/main" id="{00000000-0008-0000-0600-0000B6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951" name="Text Box 68">
            <a:extLst>
              <a:ext uri="{FF2B5EF4-FFF2-40B4-BE49-F238E27FC236}">
                <a16:creationId xmlns:a16="http://schemas.microsoft.com/office/drawing/2014/main" id="{00000000-0008-0000-0600-0000B7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952" name="Text Box 69">
            <a:extLst>
              <a:ext uri="{FF2B5EF4-FFF2-40B4-BE49-F238E27FC236}">
                <a16:creationId xmlns:a16="http://schemas.microsoft.com/office/drawing/2014/main" id="{00000000-0008-0000-0600-0000B8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953" name="Group 70">
            <a:extLst>
              <a:ext uri="{FF2B5EF4-FFF2-40B4-BE49-F238E27FC236}">
                <a16:creationId xmlns:a16="http://schemas.microsoft.com/office/drawing/2014/main" id="{00000000-0008-0000-0600-0000B9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54" name="Text Box 71">
              <a:extLst>
                <a:ext uri="{FF2B5EF4-FFF2-40B4-BE49-F238E27FC236}">
                  <a16:creationId xmlns:a16="http://schemas.microsoft.com/office/drawing/2014/main" id="{00000000-0008-0000-0600-0000BA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55" name="Text Box 72">
              <a:extLst>
                <a:ext uri="{FF2B5EF4-FFF2-40B4-BE49-F238E27FC236}">
                  <a16:creationId xmlns:a16="http://schemas.microsoft.com/office/drawing/2014/main" id="{00000000-0008-0000-0600-0000BB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956" name="Group 73">
          <a:extLst>
            <a:ext uri="{FF2B5EF4-FFF2-40B4-BE49-F238E27FC236}">
              <a16:creationId xmlns:a16="http://schemas.microsoft.com/office/drawing/2014/main" id="{00000000-0008-0000-0600-0000BC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957" name="Text Box 74">
            <a:extLst>
              <a:ext uri="{FF2B5EF4-FFF2-40B4-BE49-F238E27FC236}">
                <a16:creationId xmlns:a16="http://schemas.microsoft.com/office/drawing/2014/main" id="{00000000-0008-0000-0600-0000BD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958" name="Text Box 75">
            <a:extLst>
              <a:ext uri="{FF2B5EF4-FFF2-40B4-BE49-F238E27FC236}">
                <a16:creationId xmlns:a16="http://schemas.microsoft.com/office/drawing/2014/main" id="{00000000-0008-0000-0600-0000BE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959" name="Group 76">
            <a:extLst>
              <a:ext uri="{FF2B5EF4-FFF2-40B4-BE49-F238E27FC236}">
                <a16:creationId xmlns:a16="http://schemas.microsoft.com/office/drawing/2014/main" id="{00000000-0008-0000-0600-0000BF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60" name="Text Box 77">
              <a:extLst>
                <a:ext uri="{FF2B5EF4-FFF2-40B4-BE49-F238E27FC236}">
                  <a16:creationId xmlns:a16="http://schemas.microsoft.com/office/drawing/2014/main" id="{00000000-0008-0000-0600-0000C0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61" name="Text Box 78">
              <a:extLst>
                <a:ext uri="{FF2B5EF4-FFF2-40B4-BE49-F238E27FC236}">
                  <a16:creationId xmlns:a16="http://schemas.microsoft.com/office/drawing/2014/main" id="{00000000-0008-0000-0600-0000C1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962" name="Group 79">
          <a:extLst>
            <a:ext uri="{FF2B5EF4-FFF2-40B4-BE49-F238E27FC236}">
              <a16:creationId xmlns:a16="http://schemas.microsoft.com/office/drawing/2014/main" id="{00000000-0008-0000-0600-0000C2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963" name="Text Box 80">
            <a:extLst>
              <a:ext uri="{FF2B5EF4-FFF2-40B4-BE49-F238E27FC236}">
                <a16:creationId xmlns:a16="http://schemas.microsoft.com/office/drawing/2014/main" id="{00000000-0008-0000-0600-0000C3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964" name="Text Box 81">
            <a:extLst>
              <a:ext uri="{FF2B5EF4-FFF2-40B4-BE49-F238E27FC236}">
                <a16:creationId xmlns:a16="http://schemas.microsoft.com/office/drawing/2014/main" id="{00000000-0008-0000-0600-0000C4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965" name="Group 82">
            <a:extLst>
              <a:ext uri="{FF2B5EF4-FFF2-40B4-BE49-F238E27FC236}">
                <a16:creationId xmlns:a16="http://schemas.microsoft.com/office/drawing/2014/main" id="{00000000-0008-0000-0600-0000C5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66" name="Text Box 83">
              <a:extLst>
                <a:ext uri="{FF2B5EF4-FFF2-40B4-BE49-F238E27FC236}">
                  <a16:creationId xmlns:a16="http://schemas.microsoft.com/office/drawing/2014/main" id="{00000000-0008-0000-0600-0000C6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67" name="Text Box 84">
              <a:extLst>
                <a:ext uri="{FF2B5EF4-FFF2-40B4-BE49-F238E27FC236}">
                  <a16:creationId xmlns:a16="http://schemas.microsoft.com/office/drawing/2014/main" id="{00000000-0008-0000-0600-0000C7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968" name="Group 85">
          <a:extLst>
            <a:ext uri="{FF2B5EF4-FFF2-40B4-BE49-F238E27FC236}">
              <a16:creationId xmlns:a16="http://schemas.microsoft.com/office/drawing/2014/main" id="{00000000-0008-0000-0600-0000C8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969" name="Text Box 86">
            <a:extLst>
              <a:ext uri="{FF2B5EF4-FFF2-40B4-BE49-F238E27FC236}">
                <a16:creationId xmlns:a16="http://schemas.microsoft.com/office/drawing/2014/main" id="{00000000-0008-0000-0600-0000C9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970" name="Text Box 87">
            <a:extLst>
              <a:ext uri="{FF2B5EF4-FFF2-40B4-BE49-F238E27FC236}">
                <a16:creationId xmlns:a16="http://schemas.microsoft.com/office/drawing/2014/main" id="{00000000-0008-0000-0600-0000CA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971" name="Group 88">
            <a:extLst>
              <a:ext uri="{FF2B5EF4-FFF2-40B4-BE49-F238E27FC236}">
                <a16:creationId xmlns:a16="http://schemas.microsoft.com/office/drawing/2014/main" id="{00000000-0008-0000-0600-0000CB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72" name="Text Box 89">
              <a:extLst>
                <a:ext uri="{FF2B5EF4-FFF2-40B4-BE49-F238E27FC236}">
                  <a16:creationId xmlns:a16="http://schemas.microsoft.com/office/drawing/2014/main" id="{00000000-0008-0000-0600-0000CC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73" name="Text Box 90">
              <a:extLst>
                <a:ext uri="{FF2B5EF4-FFF2-40B4-BE49-F238E27FC236}">
                  <a16:creationId xmlns:a16="http://schemas.microsoft.com/office/drawing/2014/main" id="{00000000-0008-0000-0600-0000CD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974" name="Group 91">
          <a:extLst>
            <a:ext uri="{FF2B5EF4-FFF2-40B4-BE49-F238E27FC236}">
              <a16:creationId xmlns:a16="http://schemas.microsoft.com/office/drawing/2014/main" id="{00000000-0008-0000-0600-0000CE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975" name="Text Box 92">
            <a:extLst>
              <a:ext uri="{FF2B5EF4-FFF2-40B4-BE49-F238E27FC236}">
                <a16:creationId xmlns:a16="http://schemas.microsoft.com/office/drawing/2014/main" id="{00000000-0008-0000-0600-0000CF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976" name="Text Box 93">
            <a:extLst>
              <a:ext uri="{FF2B5EF4-FFF2-40B4-BE49-F238E27FC236}">
                <a16:creationId xmlns:a16="http://schemas.microsoft.com/office/drawing/2014/main" id="{00000000-0008-0000-0600-0000D0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977" name="Group 94">
            <a:extLst>
              <a:ext uri="{FF2B5EF4-FFF2-40B4-BE49-F238E27FC236}">
                <a16:creationId xmlns:a16="http://schemas.microsoft.com/office/drawing/2014/main" id="{00000000-0008-0000-0600-0000D1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78" name="Text Box 95">
              <a:extLst>
                <a:ext uri="{FF2B5EF4-FFF2-40B4-BE49-F238E27FC236}">
                  <a16:creationId xmlns:a16="http://schemas.microsoft.com/office/drawing/2014/main" id="{00000000-0008-0000-0600-0000D2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79" name="Text Box 96">
              <a:extLst>
                <a:ext uri="{FF2B5EF4-FFF2-40B4-BE49-F238E27FC236}">
                  <a16:creationId xmlns:a16="http://schemas.microsoft.com/office/drawing/2014/main" id="{00000000-0008-0000-0600-0000D3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980" name="Group 61">
          <a:extLst>
            <a:ext uri="{FF2B5EF4-FFF2-40B4-BE49-F238E27FC236}">
              <a16:creationId xmlns:a16="http://schemas.microsoft.com/office/drawing/2014/main" id="{00000000-0008-0000-0600-0000D4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981" name="Text Box 62">
            <a:extLst>
              <a:ext uri="{FF2B5EF4-FFF2-40B4-BE49-F238E27FC236}">
                <a16:creationId xmlns:a16="http://schemas.microsoft.com/office/drawing/2014/main" id="{00000000-0008-0000-0600-0000D5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982" name="Text Box 63">
            <a:extLst>
              <a:ext uri="{FF2B5EF4-FFF2-40B4-BE49-F238E27FC236}">
                <a16:creationId xmlns:a16="http://schemas.microsoft.com/office/drawing/2014/main" id="{00000000-0008-0000-0600-0000D6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983" name="Group 64">
            <a:extLst>
              <a:ext uri="{FF2B5EF4-FFF2-40B4-BE49-F238E27FC236}">
                <a16:creationId xmlns:a16="http://schemas.microsoft.com/office/drawing/2014/main" id="{00000000-0008-0000-0600-0000D7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84" name="Text Box 65">
              <a:extLst>
                <a:ext uri="{FF2B5EF4-FFF2-40B4-BE49-F238E27FC236}">
                  <a16:creationId xmlns:a16="http://schemas.microsoft.com/office/drawing/2014/main" id="{00000000-0008-0000-0600-0000D8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85" name="Text Box 66">
              <a:extLst>
                <a:ext uri="{FF2B5EF4-FFF2-40B4-BE49-F238E27FC236}">
                  <a16:creationId xmlns:a16="http://schemas.microsoft.com/office/drawing/2014/main" id="{00000000-0008-0000-0600-0000D9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986" name="Group 67">
          <a:extLst>
            <a:ext uri="{FF2B5EF4-FFF2-40B4-BE49-F238E27FC236}">
              <a16:creationId xmlns:a16="http://schemas.microsoft.com/office/drawing/2014/main" id="{00000000-0008-0000-0600-0000DA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987" name="Text Box 68">
            <a:extLst>
              <a:ext uri="{FF2B5EF4-FFF2-40B4-BE49-F238E27FC236}">
                <a16:creationId xmlns:a16="http://schemas.microsoft.com/office/drawing/2014/main" id="{00000000-0008-0000-0600-0000DB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988" name="Text Box 69">
            <a:extLst>
              <a:ext uri="{FF2B5EF4-FFF2-40B4-BE49-F238E27FC236}">
                <a16:creationId xmlns:a16="http://schemas.microsoft.com/office/drawing/2014/main" id="{00000000-0008-0000-0600-0000DC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989" name="Group 70">
            <a:extLst>
              <a:ext uri="{FF2B5EF4-FFF2-40B4-BE49-F238E27FC236}">
                <a16:creationId xmlns:a16="http://schemas.microsoft.com/office/drawing/2014/main" id="{00000000-0008-0000-0600-0000DD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90" name="Text Box 71">
              <a:extLst>
                <a:ext uri="{FF2B5EF4-FFF2-40B4-BE49-F238E27FC236}">
                  <a16:creationId xmlns:a16="http://schemas.microsoft.com/office/drawing/2014/main" id="{00000000-0008-0000-0600-0000DE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91" name="Text Box 72">
              <a:extLst>
                <a:ext uri="{FF2B5EF4-FFF2-40B4-BE49-F238E27FC236}">
                  <a16:creationId xmlns:a16="http://schemas.microsoft.com/office/drawing/2014/main" id="{00000000-0008-0000-0600-0000DF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992" name="Group 73">
          <a:extLst>
            <a:ext uri="{FF2B5EF4-FFF2-40B4-BE49-F238E27FC236}">
              <a16:creationId xmlns:a16="http://schemas.microsoft.com/office/drawing/2014/main" id="{00000000-0008-0000-0600-0000E0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993" name="Text Box 74">
            <a:extLst>
              <a:ext uri="{FF2B5EF4-FFF2-40B4-BE49-F238E27FC236}">
                <a16:creationId xmlns:a16="http://schemas.microsoft.com/office/drawing/2014/main" id="{00000000-0008-0000-0600-0000E1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994" name="Text Box 75">
            <a:extLst>
              <a:ext uri="{FF2B5EF4-FFF2-40B4-BE49-F238E27FC236}">
                <a16:creationId xmlns:a16="http://schemas.microsoft.com/office/drawing/2014/main" id="{00000000-0008-0000-0600-0000E2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995" name="Group 76">
            <a:extLst>
              <a:ext uri="{FF2B5EF4-FFF2-40B4-BE49-F238E27FC236}">
                <a16:creationId xmlns:a16="http://schemas.microsoft.com/office/drawing/2014/main" id="{00000000-0008-0000-0600-0000E3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996" name="Text Box 77">
              <a:extLst>
                <a:ext uri="{FF2B5EF4-FFF2-40B4-BE49-F238E27FC236}">
                  <a16:creationId xmlns:a16="http://schemas.microsoft.com/office/drawing/2014/main" id="{00000000-0008-0000-0600-0000E4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997" name="Text Box 78">
              <a:extLst>
                <a:ext uri="{FF2B5EF4-FFF2-40B4-BE49-F238E27FC236}">
                  <a16:creationId xmlns:a16="http://schemas.microsoft.com/office/drawing/2014/main" id="{00000000-0008-0000-0600-0000E5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998" name="Group 79">
          <a:extLst>
            <a:ext uri="{FF2B5EF4-FFF2-40B4-BE49-F238E27FC236}">
              <a16:creationId xmlns:a16="http://schemas.microsoft.com/office/drawing/2014/main" id="{00000000-0008-0000-0600-0000E6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999" name="Text Box 80">
            <a:extLst>
              <a:ext uri="{FF2B5EF4-FFF2-40B4-BE49-F238E27FC236}">
                <a16:creationId xmlns:a16="http://schemas.microsoft.com/office/drawing/2014/main" id="{00000000-0008-0000-0600-0000E7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00" name="Text Box 81">
            <a:extLst>
              <a:ext uri="{FF2B5EF4-FFF2-40B4-BE49-F238E27FC236}">
                <a16:creationId xmlns:a16="http://schemas.microsoft.com/office/drawing/2014/main" id="{00000000-0008-0000-0600-0000E8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01" name="Group 82">
            <a:extLst>
              <a:ext uri="{FF2B5EF4-FFF2-40B4-BE49-F238E27FC236}">
                <a16:creationId xmlns:a16="http://schemas.microsoft.com/office/drawing/2014/main" id="{00000000-0008-0000-0600-0000E9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02" name="Text Box 83">
              <a:extLst>
                <a:ext uri="{FF2B5EF4-FFF2-40B4-BE49-F238E27FC236}">
                  <a16:creationId xmlns:a16="http://schemas.microsoft.com/office/drawing/2014/main" id="{00000000-0008-0000-0600-0000EA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03" name="Text Box 84">
              <a:extLst>
                <a:ext uri="{FF2B5EF4-FFF2-40B4-BE49-F238E27FC236}">
                  <a16:creationId xmlns:a16="http://schemas.microsoft.com/office/drawing/2014/main" id="{00000000-0008-0000-0600-0000EB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004" name="Group 85">
          <a:extLst>
            <a:ext uri="{FF2B5EF4-FFF2-40B4-BE49-F238E27FC236}">
              <a16:creationId xmlns:a16="http://schemas.microsoft.com/office/drawing/2014/main" id="{00000000-0008-0000-0600-0000EC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005" name="Text Box 86">
            <a:extLst>
              <a:ext uri="{FF2B5EF4-FFF2-40B4-BE49-F238E27FC236}">
                <a16:creationId xmlns:a16="http://schemas.microsoft.com/office/drawing/2014/main" id="{00000000-0008-0000-0600-0000ED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06" name="Text Box 87">
            <a:extLst>
              <a:ext uri="{FF2B5EF4-FFF2-40B4-BE49-F238E27FC236}">
                <a16:creationId xmlns:a16="http://schemas.microsoft.com/office/drawing/2014/main" id="{00000000-0008-0000-0600-0000EE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07" name="Group 88">
            <a:extLst>
              <a:ext uri="{FF2B5EF4-FFF2-40B4-BE49-F238E27FC236}">
                <a16:creationId xmlns:a16="http://schemas.microsoft.com/office/drawing/2014/main" id="{00000000-0008-0000-0600-0000EF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08" name="Text Box 89">
              <a:extLst>
                <a:ext uri="{FF2B5EF4-FFF2-40B4-BE49-F238E27FC236}">
                  <a16:creationId xmlns:a16="http://schemas.microsoft.com/office/drawing/2014/main" id="{00000000-0008-0000-0600-0000F0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09" name="Text Box 90">
              <a:extLst>
                <a:ext uri="{FF2B5EF4-FFF2-40B4-BE49-F238E27FC236}">
                  <a16:creationId xmlns:a16="http://schemas.microsoft.com/office/drawing/2014/main" id="{00000000-0008-0000-0600-0000F1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010" name="Group 91">
          <a:extLst>
            <a:ext uri="{FF2B5EF4-FFF2-40B4-BE49-F238E27FC236}">
              <a16:creationId xmlns:a16="http://schemas.microsoft.com/office/drawing/2014/main" id="{00000000-0008-0000-0600-0000F203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011" name="Text Box 92">
            <a:extLst>
              <a:ext uri="{FF2B5EF4-FFF2-40B4-BE49-F238E27FC236}">
                <a16:creationId xmlns:a16="http://schemas.microsoft.com/office/drawing/2014/main" id="{00000000-0008-0000-0600-0000F3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12" name="Text Box 93">
            <a:extLst>
              <a:ext uri="{FF2B5EF4-FFF2-40B4-BE49-F238E27FC236}">
                <a16:creationId xmlns:a16="http://schemas.microsoft.com/office/drawing/2014/main" id="{00000000-0008-0000-0600-0000F4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13" name="Group 94">
            <a:extLst>
              <a:ext uri="{FF2B5EF4-FFF2-40B4-BE49-F238E27FC236}">
                <a16:creationId xmlns:a16="http://schemas.microsoft.com/office/drawing/2014/main" id="{00000000-0008-0000-0600-0000F5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14" name="Text Box 95">
              <a:extLst>
                <a:ext uri="{FF2B5EF4-FFF2-40B4-BE49-F238E27FC236}">
                  <a16:creationId xmlns:a16="http://schemas.microsoft.com/office/drawing/2014/main" id="{00000000-0008-0000-0600-0000F6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15" name="Text Box 96">
              <a:extLst>
                <a:ext uri="{FF2B5EF4-FFF2-40B4-BE49-F238E27FC236}">
                  <a16:creationId xmlns:a16="http://schemas.microsoft.com/office/drawing/2014/main" id="{00000000-0008-0000-0600-0000F7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016" name="Group 1">
          <a:extLst>
            <a:ext uri="{FF2B5EF4-FFF2-40B4-BE49-F238E27FC236}">
              <a16:creationId xmlns:a16="http://schemas.microsoft.com/office/drawing/2014/main" id="{00000000-0008-0000-0600-0000F803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1017" name="Text Box 2">
            <a:extLst>
              <a:ext uri="{FF2B5EF4-FFF2-40B4-BE49-F238E27FC236}">
                <a16:creationId xmlns:a16="http://schemas.microsoft.com/office/drawing/2014/main" id="{00000000-0008-0000-0600-0000F9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18" name="Text Box 3">
            <a:extLst>
              <a:ext uri="{FF2B5EF4-FFF2-40B4-BE49-F238E27FC236}">
                <a16:creationId xmlns:a16="http://schemas.microsoft.com/office/drawing/2014/main" id="{00000000-0008-0000-0600-0000FA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19" name="Group 4">
            <a:extLst>
              <a:ext uri="{FF2B5EF4-FFF2-40B4-BE49-F238E27FC236}">
                <a16:creationId xmlns:a16="http://schemas.microsoft.com/office/drawing/2014/main" id="{00000000-0008-0000-0600-0000FB03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20" name="Text Box 5">
              <a:extLst>
                <a:ext uri="{FF2B5EF4-FFF2-40B4-BE49-F238E27FC236}">
                  <a16:creationId xmlns:a16="http://schemas.microsoft.com/office/drawing/2014/main" id="{00000000-0008-0000-0600-0000FC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21" name="Text Box 6">
              <a:extLst>
                <a:ext uri="{FF2B5EF4-FFF2-40B4-BE49-F238E27FC236}">
                  <a16:creationId xmlns:a16="http://schemas.microsoft.com/office/drawing/2014/main" id="{00000000-0008-0000-0600-0000FD03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022" name="Group 7">
          <a:extLst>
            <a:ext uri="{FF2B5EF4-FFF2-40B4-BE49-F238E27FC236}">
              <a16:creationId xmlns:a16="http://schemas.microsoft.com/office/drawing/2014/main" id="{00000000-0008-0000-0600-0000FE03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1023" name="Text Box 8">
            <a:extLst>
              <a:ext uri="{FF2B5EF4-FFF2-40B4-BE49-F238E27FC236}">
                <a16:creationId xmlns:a16="http://schemas.microsoft.com/office/drawing/2014/main" id="{00000000-0008-0000-0600-0000FF03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24" name="Text Box 9">
            <a:extLst>
              <a:ext uri="{FF2B5EF4-FFF2-40B4-BE49-F238E27FC236}">
                <a16:creationId xmlns:a16="http://schemas.microsoft.com/office/drawing/2014/main" id="{00000000-0008-0000-0600-000000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25" name="Group 10">
            <a:extLst>
              <a:ext uri="{FF2B5EF4-FFF2-40B4-BE49-F238E27FC236}">
                <a16:creationId xmlns:a16="http://schemas.microsoft.com/office/drawing/2014/main" id="{00000000-0008-0000-0600-000001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26" name="Text Box 11">
              <a:extLst>
                <a:ext uri="{FF2B5EF4-FFF2-40B4-BE49-F238E27FC236}">
                  <a16:creationId xmlns:a16="http://schemas.microsoft.com/office/drawing/2014/main" id="{00000000-0008-0000-0600-000002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27" name="Text Box 12">
              <a:extLst>
                <a:ext uri="{FF2B5EF4-FFF2-40B4-BE49-F238E27FC236}">
                  <a16:creationId xmlns:a16="http://schemas.microsoft.com/office/drawing/2014/main" id="{00000000-0008-0000-0600-000003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028" name="Group 13">
          <a:extLst>
            <a:ext uri="{FF2B5EF4-FFF2-40B4-BE49-F238E27FC236}">
              <a16:creationId xmlns:a16="http://schemas.microsoft.com/office/drawing/2014/main" id="{00000000-0008-0000-0600-00000404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1029" name="Text Box 14">
            <a:extLst>
              <a:ext uri="{FF2B5EF4-FFF2-40B4-BE49-F238E27FC236}">
                <a16:creationId xmlns:a16="http://schemas.microsoft.com/office/drawing/2014/main" id="{00000000-0008-0000-0600-000005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30" name="Text Box 15">
            <a:extLst>
              <a:ext uri="{FF2B5EF4-FFF2-40B4-BE49-F238E27FC236}">
                <a16:creationId xmlns:a16="http://schemas.microsoft.com/office/drawing/2014/main" id="{00000000-0008-0000-0600-000006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31" name="Group 16">
            <a:extLst>
              <a:ext uri="{FF2B5EF4-FFF2-40B4-BE49-F238E27FC236}">
                <a16:creationId xmlns:a16="http://schemas.microsoft.com/office/drawing/2014/main" id="{00000000-0008-0000-0600-000007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32" name="Text Box 17">
              <a:extLst>
                <a:ext uri="{FF2B5EF4-FFF2-40B4-BE49-F238E27FC236}">
                  <a16:creationId xmlns:a16="http://schemas.microsoft.com/office/drawing/2014/main" id="{00000000-0008-0000-0600-000008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33" name="Text Box 18">
              <a:extLst>
                <a:ext uri="{FF2B5EF4-FFF2-40B4-BE49-F238E27FC236}">
                  <a16:creationId xmlns:a16="http://schemas.microsoft.com/office/drawing/2014/main" id="{00000000-0008-0000-0600-000009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034" name="Group 61">
          <a:extLst>
            <a:ext uri="{FF2B5EF4-FFF2-40B4-BE49-F238E27FC236}">
              <a16:creationId xmlns:a16="http://schemas.microsoft.com/office/drawing/2014/main" id="{00000000-0008-0000-0600-00000A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035" name="Text Box 62">
            <a:extLst>
              <a:ext uri="{FF2B5EF4-FFF2-40B4-BE49-F238E27FC236}">
                <a16:creationId xmlns:a16="http://schemas.microsoft.com/office/drawing/2014/main" id="{00000000-0008-0000-0600-00000B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36" name="Text Box 63">
            <a:extLst>
              <a:ext uri="{FF2B5EF4-FFF2-40B4-BE49-F238E27FC236}">
                <a16:creationId xmlns:a16="http://schemas.microsoft.com/office/drawing/2014/main" id="{00000000-0008-0000-0600-00000C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37" name="Group 64">
            <a:extLst>
              <a:ext uri="{FF2B5EF4-FFF2-40B4-BE49-F238E27FC236}">
                <a16:creationId xmlns:a16="http://schemas.microsoft.com/office/drawing/2014/main" id="{00000000-0008-0000-0600-00000D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38" name="Text Box 65">
              <a:extLst>
                <a:ext uri="{FF2B5EF4-FFF2-40B4-BE49-F238E27FC236}">
                  <a16:creationId xmlns:a16="http://schemas.microsoft.com/office/drawing/2014/main" id="{00000000-0008-0000-0600-00000E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39" name="Text Box 66">
              <a:extLst>
                <a:ext uri="{FF2B5EF4-FFF2-40B4-BE49-F238E27FC236}">
                  <a16:creationId xmlns:a16="http://schemas.microsoft.com/office/drawing/2014/main" id="{00000000-0008-0000-0600-00000F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040" name="Group 67">
          <a:extLst>
            <a:ext uri="{FF2B5EF4-FFF2-40B4-BE49-F238E27FC236}">
              <a16:creationId xmlns:a16="http://schemas.microsoft.com/office/drawing/2014/main" id="{00000000-0008-0000-0600-000010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041" name="Text Box 68">
            <a:extLst>
              <a:ext uri="{FF2B5EF4-FFF2-40B4-BE49-F238E27FC236}">
                <a16:creationId xmlns:a16="http://schemas.microsoft.com/office/drawing/2014/main" id="{00000000-0008-0000-0600-000011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42" name="Text Box 69">
            <a:extLst>
              <a:ext uri="{FF2B5EF4-FFF2-40B4-BE49-F238E27FC236}">
                <a16:creationId xmlns:a16="http://schemas.microsoft.com/office/drawing/2014/main" id="{00000000-0008-0000-0600-000012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43" name="Group 70">
            <a:extLst>
              <a:ext uri="{FF2B5EF4-FFF2-40B4-BE49-F238E27FC236}">
                <a16:creationId xmlns:a16="http://schemas.microsoft.com/office/drawing/2014/main" id="{00000000-0008-0000-0600-000013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44" name="Text Box 71">
              <a:extLst>
                <a:ext uri="{FF2B5EF4-FFF2-40B4-BE49-F238E27FC236}">
                  <a16:creationId xmlns:a16="http://schemas.microsoft.com/office/drawing/2014/main" id="{00000000-0008-0000-0600-000014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45" name="Text Box 72">
              <a:extLst>
                <a:ext uri="{FF2B5EF4-FFF2-40B4-BE49-F238E27FC236}">
                  <a16:creationId xmlns:a16="http://schemas.microsoft.com/office/drawing/2014/main" id="{00000000-0008-0000-0600-000015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046" name="Group 73">
          <a:extLst>
            <a:ext uri="{FF2B5EF4-FFF2-40B4-BE49-F238E27FC236}">
              <a16:creationId xmlns:a16="http://schemas.microsoft.com/office/drawing/2014/main" id="{00000000-0008-0000-0600-000016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047" name="Text Box 74">
            <a:extLst>
              <a:ext uri="{FF2B5EF4-FFF2-40B4-BE49-F238E27FC236}">
                <a16:creationId xmlns:a16="http://schemas.microsoft.com/office/drawing/2014/main" id="{00000000-0008-0000-0600-000017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48" name="Text Box 75">
            <a:extLst>
              <a:ext uri="{FF2B5EF4-FFF2-40B4-BE49-F238E27FC236}">
                <a16:creationId xmlns:a16="http://schemas.microsoft.com/office/drawing/2014/main" id="{00000000-0008-0000-0600-000018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49" name="Group 76">
            <a:extLst>
              <a:ext uri="{FF2B5EF4-FFF2-40B4-BE49-F238E27FC236}">
                <a16:creationId xmlns:a16="http://schemas.microsoft.com/office/drawing/2014/main" id="{00000000-0008-0000-0600-000019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50" name="Text Box 77">
              <a:extLst>
                <a:ext uri="{FF2B5EF4-FFF2-40B4-BE49-F238E27FC236}">
                  <a16:creationId xmlns:a16="http://schemas.microsoft.com/office/drawing/2014/main" id="{00000000-0008-0000-0600-00001A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51" name="Text Box 78">
              <a:extLst>
                <a:ext uri="{FF2B5EF4-FFF2-40B4-BE49-F238E27FC236}">
                  <a16:creationId xmlns:a16="http://schemas.microsoft.com/office/drawing/2014/main" id="{00000000-0008-0000-0600-00001B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052" name="Group 79">
          <a:extLst>
            <a:ext uri="{FF2B5EF4-FFF2-40B4-BE49-F238E27FC236}">
              <a16:creationId xmlns:a16="http://schemas.microsoft.com/office/drawing/2014/main" id="{00000000-0008-0000-0600-00001C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053" name="Text Box 80">
            <a:extLst>
              <a:ext uri="{FF2B5EF4-FFF2-40B4-BE49-F238E27FC236}">
                <a16:creationId xmlns:a16="http://schemas.microsoft.com/office/drawing/2014/main" id="{00000000-0008-0000-0600-00001D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54" name="Text Box 81">
            <a:extLst>
              <a:ext uri="{FF2B5EF4-FFF2-40B4-BE49-F238E27FC236}">
                <a16:creationId xmlns:a16="http://schemas.microsoft.com/office/drawing/2014/main" id="{00000000-0008-0000-0600-00001E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55" name="Group 82">
            <a:extLst>
              <a:ext uri="{FF2B5EF4-FFF2-40B4-BE49-F238E27FC236}">
                <a16:creationId xmlns:a16="http://schemas.microsoft.com/office/drawing/2014/main" id="{00000000-0008-0000-0600-00001F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56" name="Text Box 83">
              <a:extLst>
                <a:ext uri="{FF2B5EF4-FFF2-40B4-BE49-F238E27FC236}">
                  <a16:creationId xmlns:a16="http://schemas.microsoft.com/office/drawing/2014/main" id="{00000000-0008-0000-0600-000020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57" name="Text Box 84">
              <a:extLst>
                <a:ext uri="{FF2B5EF4-FFF2-40B4-BE49-F238E27FC236}">
                  <a16:creationId xmlns:a16="http://schemas.microsoft.com/office/drawing/2014/main" id="{00000000-0008-0000-0600-000021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058" name="Group 85">
          <a:extLst>
            <a:ext uri="{FF2B5EF4-FFF2-40B4-BE49-F238E27FC236}">
              <a16:creationId xmlns:a16="http://schemas.microsoft.com/office/drawing/2014/main" id="{00000000-0008-0000-0600-000022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059" name="Text Box 86">
            <a:extLst>
              <a:ext uri="{FF2B5EF4-FFF2-40B4-BE49-F238E27FC236}">
                <a16:creationId xmlns:a16="http://schemas.microsoft.com/office/drawing/2014/main" id="{00000000-0008-0000-0600-000023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60" name="Text Box 87">
            <a:extLst>
              <a:ext uri="{FF2B5EF4-FFF2-40B4-BE49-F238E27FC236}">
                <a16:creationId xmlns:a16="http://schemas.microsoft.com/office/drawing/2014/main" id="{00000000-0008-0000-0600-000024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61" name="Group 88">
            <a:extLst>
              <a:ext uri="{FF2B5EF4-FFF2-40B4-BE49-F238E27FC236}">
                <a16:creationId xmlns:a16="http://schemas.microsoft.com/office/drawing/2014/main" id="{00000000-0008-0000-0600-000025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62" name="Text Box 89">
              <a:extLst>
                <a:ext uri="{FF2B5EF4-FFF2-40B4-BE49-F238E27FC236}">
                  <a16:creationId xmlns:a16="http://schemas.microsoft.com/office/drawing/2014/main" id="{00000000-0008-0000-0600-000026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63" name="Text Box 90">
              <a:extLst>
                <a:ext uri="{FF2B5EF4-FFF2-40B4-BE49-F238E27FC236}">
                  <a16:creationId xmlns:a16="http://schemas.microsoft.com/office/drawing/2014/main" id="{00000000-0008-0000-0600-000027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064" name="Group 91">
          <a:extLst>
            <a:ext uri="{FF2B5EF4-FFF2-40B4-BE49-F238E27FC236}">
              <a16:creationId xmlns:a16="http://schemas.microsoft.com/office/drawing/2014/main" id="{00000000-0008-0000-0600-000028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065" name="Text Box 92">
            <a:extLst>
              <a:ext uri="{FF2B5EF4-FFF2-40B4-BE49-F238E27FC236}">
                <a16:creationId xmlns:a16="http://schemas.microsoft.com/office/drawing/2014/main" id="{00000000-0008-0000-0600-000029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66" name="Text Box 93">
            <a:extLst>
              <a:ext uri="{FF2B5EF4-FFF2-40B4-BE49-F238E27FC236}">
                <a16:creationId xmlns:a16="http://schemas.microsoft.com/office/drawing/2014/main" id="{00000000-0008-0000-0600-00002A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67" name="Group 94">
            <a:extLst>
              <a:ext uri="{FF2B5EF4-FFF2-40B4-BE49-F238E27FC236}">
                <a16:creationId xmlns:a16="http://schemas.microsoft.com/office/drawing/2014/main" id="{00000000-0008-0000-0600-00002B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68" name="Text Box 95">
              <a:extLst>
                <a:ext uri="{FF2B5EF4-FFF2-40B4-BE49-F238E27FC236}">
                  <a16:creationId xmlns:a16="http://schemas.microsoft.com/office/drawing/2014/main" id="{00000000-0008-0000-0600-00002C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69" name="Text Box 96">
              <a:extLst>
                <a:ext uri="{FF2B5EF4-FFF2-40B4-BE49-F238E27FC236}">
                  <a16:creationId xmlns:a16="http://schemas.microsoft.com/office/drawing/2014/main" id="{00000000-0008-0000-0600-00002D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070" name="Group 61">
          <a:extLst>
            <a:ext uri="{FF2B5EF4-FFF2-40B4-BE49-F238E27FC236}">
              <a16:creationId xmlns:a16="http://schemas.microsoft.com/office/drawing/2014/main" id="{00000000-0008-0000-0600-00002E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071" name="Text Box 62">
            <a:extLst>
              <a:ext uri="{FF2B5EF4-FFF2-40B4-BE49-F238E27FC236}">
                <a16:creationId xmlns:a16="http://schemas.microsoft.com/office/drawing/2014/main" id="{00000000-0008-0000-0600-00002F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72" name="Text Box 63">
            <a:extLst>
              <a:ext uri="{FF2B5EF4-FFF2-40B4-BE49-F238E27FC236}">
                <a16:creationId xmlns:a16="http://schemas.microsoft.com/office/drawing/2014/main" id="{00000000-0008-0000-0600-000030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73" name="Group 64">
            <a:extLst>
              <a:ext uri="{FF2B5EF4-FFF2-40B4-BE49-F238E27FC236}">
                <a16:creationId xmlns:a16="http://schemas.microsoft.com/office/drawing/2014/main" id="{00000000-0008-0000-0600-000031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74" name="Text Box 65">
              <a:extLst>
                <a:ext uri="{FF2B5EF4-FFF2-40B4-BE49-F238E27FC236}">
                  <a16:creationId xmlns:a16="http://schemas.microsoft.com/office/drawing/2014/main" id="{00000000-0008-0000-0600-000032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75" name="Text Box 66">
              <a:extLst>
                <a:ext uri="{FF2B5EF4-FFF2-40B4-BE49-F238E27FC236}">
                  <a16:creationId xmlns:a16="http://schemas.microsoft.com/office/drawing/2014/main" id="{00000000-0008-0000-0600-000033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076" name="Group 67">
          <a:extLst>
            <a:ext uri="{FF2B5EF4-FFF2-40B4-BE49-F238E27FC236}">
              <a16:creationId xmlns:a16="http://schemas.microsoft.com/office/drawing/2014/main" id="{00000000-0008-0000-0600-000034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077" name="Text Box 68">
            <a:extLst>
              <a:ext uri="{FF2B5EF4-FFF2-40B4-BE49-F238E27FC236}">
                <a16:creationId xmlns:a16="http://schemas.microsoft.com/office/drawing/2014/main" id="{00000000-0008-0000-0600-000035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78" name="Text Box 69">
            <a:extLst>
              <a:ext uri="{FF2B5EF4-FFF2-40B4-BE49-F238E27FC236}">
                <a16:creationId xmlns:a16="http://schemas.microsoft.com/office/drawing/2014/main" id="{00000000-0008-0000-0600-000036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79" name="Group 70">
            <a:extLst>
              <a:ext uri="{FF2B5EF4-FFF2-40B4-BE49-F238E27FC236}">
                <a16:creationId xmlns:a16="http://schemas.microsoft.com/office/drawing/2014/main" id="{00000000-0008-0000-0600-000037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80" name="Text Box 71">
              <a:extLst>
                <a:ext uri="{FF2B5EF4-FFF2-40B4-BE49-F238E27FC236}">
                  <a16:creationId xmlns:a16="http://schemas.microsoft.com/office/drawing/2014/main" id="{00000000-0008-0000-0600-000038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81" name="Text Box 72">
              <a:extLst>
                <a:ext uri="{FF2B5EF4-FFF2-40B4-BE49-F238E27FC236}">
                  <a16:creationId xmlns:a16="http://schemas.microsoft.com/office/drawing/2014/main" id="{00000000-0008-0000-0600-000039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082" name="Group 73">
          <a:extLst>
            <a:ext uri="{FF2B5EF4-FFF2-40B4-BE49-F238E27FC236}">
              <a16:creationId xmlns:a16="http://schemas.microsoft.com/office/drawing/2014/main" id="{00000000-0008-0000-0600-00003A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083" name="Text Box 74">
            <a:extLst>
              <a:ext uri="{FF2B5EF4-FFF2-40B4-BE49-F238E27FC236}">
                <a16:creationId xmlns:a16="http://schemas.microsoft.com/office/drawing/2014/main" id="{00000000-0008-0000-0600-00003B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84" name="Text Box 75">
            <a:extLst>
              <a:ext uri="{FF2B5EF4-FFF2-40B4-BE49-F238E27FC236}">
                <a16:creationId xmlns:a16="http://schemas.microsoft.com/office/drawing/2014/main" id="{00000000-0008-0000-0600-00003C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85" name="Group 76">
            <a:extLst>
              <a:ext uri="{FF2B5EF4-FFF2-40B4-BE49-F238E27FC236}">
                <a16:creationId xmlns:a16="http://schemas.microsoft.com/office/drawing/2014/main" id="{00000000-0008-0000-0600-00003D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86" name="Text Box 77">
              <a:extLst>
                <a:ext uri="{FF2B5EF4-FFF2-40B4-BE49-F238E27FC236}">
                  <a16:creationId xmlns:a16="http://schemas.microsoft.com/office/drawing/2014/main" id="{00000000-0008-0000-0600-00003E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87" name="Text Box 78">
              <a:extLst>
                <a:ext uri="{FF2B5EF4-FFF2-40B4-BE49-F238E27FC236}">
                  <a16:creationId xmlns:a16="http://schemas.microsoft.com/office/drawing/2014/main" id="{00000000-0008-0000-0600-00003F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088" name="Group 79">
          <a:extLst>
            <a:ext uri="{FF2B5EF4-FFF2-40B4-BE49-F238E27FC236}">
              <a16:creationId xmlns:a16="http://schemas.microsoft.com/office/drawing/2014/main" id="{00000000-0008-0000-0600-000040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089" name="Text Box 80">
            <a:extLst>
              <a:ext uri="{FF2B5EF4-FFF2-40B4-BE49-F238E27FC236}">
                <a16:creationId xmlns:a16="http://schemas.microsoft.com/office/drawing/2014/main" id="{00000000-0008-0000-0600-000041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90" name="Text Box 81">
            <a:extLst>
              <a:ext uri="{FF2B5EF4-FFF2-40B4-BE49-F238E27FC236}">
                <a16:creationId xmlns:a16="http://schemas.microsoft.com/office/drawing/2014/main" id="{00000000-0008-0000-0600-000042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91" name="Group 82">
            <a:extLst>
              <a:ext uri="{FF2B5EF4-FFF2-40B4-BE49-F238E27FC236}">
                <a16:creationId xmlns:a16="http://schemas.microsoft.com/office/drawing/2014/main" id="{00000000-0008-0000-0600-000043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92" name="Text Box 83">
              <a:extLst>
                <a:ext uri="{FF2B5EF4-FFF2-40B4-BE49-F238E27FC236}">
                  <a16:creationId xmlns:a16="http://schemas.microsoft.com/office/drawing/2014/main" id="{00000000-0008-0000-0600-000044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93" name="Text Box 84">
              <a:extLst>
                <a:ext uri="{FF2B5EF4-FFF2-40B4-BE49-F238E27FC236}">
                  <a16:creationId xmlns:a16="http://schemas.microsoft.com/office/drawing/2014/main" id="{00000000-0008-0000-0600-000045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094" name="Group 85">
          <a:extLst>
            <a:ext uri="{FF2B5EF4-FFF2-40B4-BE49-F238E27FC236}">
              <a16:creationId xmlns:a16="http://schemas.microsoft.com/office/drawing/2014/main" id="{00000000-0008-0000-0600-000046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095" name="Text Box 86">
            <a:extLst>
              <a:ext uri="{FF2B5EF4-FFF2-40B4-BE49-F238E27FC236}">
                <a16:creationId xmlns:a16="http://schemas.microsoft.com/office/drawing/2014/main" id="{00000000-0008-0000-0600-000047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096" name="Text Box 87">
            <a:extLst>
              <a:ext uri="{FF2B5EF4-FFF2-40B4-BE49-F238E27FC236}">
                <a16:creationId xmlns:a16="http://schemas.microsoft.com/office/drawing/2014/main" id="{00000000-0008-0000-0600-000048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097" name="Group 88">
            <a:extLst>
              <a:ext uri="{FF2B5EF4-FFF2-40B4-BE49-F238E27FC236}">
                <a16:creationId xmlns:a16="http://schemas.microsoft.com/office/drawing/2014/main" id="{00000000-0008-0000-0600-000049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098" name="Text Box 89">
              <a:extLst>
                <a:ext uri="{FF2B5EF4-FFF2-40B4-BE49-F238E27FC236}">
                  <a16:creationId xmlns:a16="http://schemas.microsoft.com/office/drawing/2014/main" id="{00000000-0008-0000-0600-00004A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099" name="Text Box 90">
              <a:extLst>
                <a:ext uri="{FF2B5EF4-FFF2-40B4-BE49-F238E27FC236}">
                  <a16:creationId xmlns:a16="http://schemas.microsoft.com/office/drawing/2014/main" id="{00000000-0008-0000-0600-00004B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100" name="Group 91">
          <a:extLst>
            <a:ext uri="{FF2B5EF4-FFF2-40B4-BE49-F238E27FC236}">
              <a16:creationId xmlns:a16="http://schemas.microsoft.com/office/drawing/2014/main" id="{00000000-0008-0000-0600-00004C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101" name="Text Box 92">
            <a:extLst>
              <a:ext uri="{FF2B5EF4-FFF2-40B4-BE49-F238E27FC236}">
                <a16:creationId xmlns:a16="http://schemas.microsoft.com/office/drawing/2014/main" id="{00000000-0008-0000-0600-00004D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02" name="Text Box 93">
            <a:extLst>
              <a:ext uri="{FF2B5EF4-FFF2-40B4-BE49-F238E27FC236}">
                <a16:creationId xmlns:a16="http://schemas.microsoft.com/office/drawing/2014/main" id="{00000000-0008-0000-0600-00004E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03" name="Group 94">
            <a:extLst>
              <a:ext uri="{FF2B5EF4-FFF2-40B4-BE49-F238E27FC236}">
                <a16:creationId xmlns:a16="http://schemas.microsoft.com/office/drawing/2014/main" id="{00000000-0008-0000-0600-00004F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104" name="Text Box 95">
              <a:extLst>
                <a:ext uri="{FF2B5EF4-FFF2-40B4-BE49-F238E27FC236}">
                  <a16:creationId xmlns:a16="http://schemas.microsoft.com/office/drawing/2014/main" id="{00000000-0008-0000-0600-000050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105" name="Text Box 96">
              <a:extLst>
                <a:ext uri="{FF2B5EF4-FFF2-40B4-BE49-F238E27FC236}">
                  <a16:creationId xmlns:a16="http://schemas.microsoft.com/office/drawing/2014/main" id="{00000000-0008-0000-0600-000051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722" name="Group 1">
          <a:extLst>
            <a:ext uri="{FF2B5EF4-FFF2-40B4-BE49-F238E27FC236}">
              <a16:creationId xmlns:a16="http://schemas.microsoft.com/office/drawing/2014/main" id="{00000000-0008-0000-0600-0000D202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723" name="Text Box 2">
            <a:extLst>
              <a:ext uri="{FF2B5EF4-FFF2-40B4-BE49-F238E27FC236}">
                <a16:creationId xmlns:a16="http://schemas.microsoft.com/office/drawing/2014/main" id="{00000000-0008-0000-0600-0000D302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724" name="Text Box 3">
            <a:extLst>
              <a:ext uri="{FF2B5EF4-FFF2-40B4-BE49-F238E27FC236}">
                <a16:creationId xmlns:a16="http://schemas.microsoft.com/office/drawing/2014/main" id="{00000000-0008-0000-0600-0000D402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725" name="Group 4">
            <a:extLst>
              <a:ext uri="{FF2B5EF4-FFF2-40B4-BE49-F238E27FC236}">
                <a16:creationId xmlns:a16="http://schemas.microsoft.com/office/drawing/2014/main" id="{00000000-0008-0000-0600-0000D502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726" name="Text Box 5">
              <a:extLst>
                <a:ext uri="{FF2B5EF4-FFF2-40B4-BE49-F238E27FC236}">
                  <a16:creationId xmlns:a16="http://schemas.microsoft.com/office/drawing/2014/main" id="{00000000-0008-0000-0600-0000D6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27" name="Text Box 6">
              <a:extLst>
                <a:ext uri="{FF2B5EF4-FFF2-40B4-BE49-F238E27FC236}">
                  <a16:creationId xmlns:a16="http://schemas.microsoft.com/office/drawing/2014/main" id="{00000000-0008-0000-0600-0000D7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728" name="Group 7">
          <a:extLst>
            <a:ext uri="{FF2B5EF4-FFF2-40B4-BE49-F238E27FC236}">
              <a16:creationId xmlns:a16="http://schemas.microsoft.com/office/drawing/2014/main" id="{00000000-0008-0000-0600-0000D802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729" name="Text Box 8">
            <a:extLst>
              <a:ext uri="{FF2B5EF4-FFF2-40B4-BE49-F238E27FC236}">
                <a16:creationId xmlns:a16="http://schemas.microsoft.com/office/drawing/2014/main" id="{00000000-0008-0000-0600-0000D902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730" name="Text Box 9">
            <a:extLst>
              <a:ext uri="{FF2B5EF4-FFF2-40B4-BE49-F238E27FC236}">
                <a16:creationId xmlns:a16="http://schemas.microsoft.com/office/drawing/2014/main" id="{00000000-0008-0000-0600-0000DA02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731" name="Group 10">
            <a:extLst>
              <a:ext uri="{FF2B5EF4-FFF2-40B4-BE49-F238E27FC236}">
                <a16:creationId xmlns:a16="http://schemas.microsoft.com/office/drawing/2014/main" id="{00000000-0008-0000-0600-0000DB02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732" name="Text Box 11">
              <a:extLst>
                <a:ext uri="{FF2B5EF4-FFF2-40B4-BE49-F238E27FC236}">
                  <a16:creationId xmlns:a16="http://schemas.microsoft.com/office/drawing/2014/main" id="{00000000-0008-0000-0600-0000DC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33" name="Text Box 12">
              <a:extLst>
                <a:ext uri="{FF2B5EF4-FFF2-40B4-BE49-F238E27FC236}">
                  <a16:creationId xmlns:a16="http://schemas.microsoft.com/office/drawing/2014/main" id="{00000000-0008-0000-0600-0000DD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734" name="Group 13">
          <a:extLst>
            <a:ext uri="{FF2B5EF4-FFF2-40B4-BE49-F238E27FC236}">
              <a16:creationId xmlns:a16="http://schemas.microsoft.com/office/drawing/2014/main" id="{00000000-0008-0000-0600-0000DE02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735" name="Text Box 14">
            <a:extLst>
              <a:ext uri="{FF2B5EF4-FFF2-40B4-BE49-F238E27FC236}">
                <a16:creationId xmlns:a16="http://schemas.microsoft.com/office/drawing/2014/main" id="{00000000-0008-0000-0600-0000DF02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736" name="Text Box 15">
            <a:extLst>
              <a:ext uri="{FF2B5EF4-FFF2-40B4-BE49-F238E27FC236}">
                <a16:creationId xmlns:a16="http://schemas.microsoft.com/office/drawing/2014/main" id="{00000000-0008-0000-0600-0000E002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737" name="Group 16">
            <a:extLst>
              <a:ext uri="{FF2B5EF4-FFF2-40B4-BE49-F238E27FC236}">
                <a16:creationId xmlns:a16="http://schemas.microsoft.com/office/drawing/2014/main" id="{00000000-0008-0000-0600-0000E102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738" name="Text Box 17">
              <a:extLst>
                <a:ext uri="{FF2B5EF4-FFF2-40B4-BE49-F238E27FC236}">
                  <a16:creationId xmlns:a16="http://schemas.microsoft.com/office/drawing/2014/main" id="{00000000-0008-0000-0600-0000E2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39" name="Text Box 18">
              <a:extLst>
                <a:ext uri="{FF2B5EF4-FFF2-40B4-BE49-F238E27FC236}">
                  <a16:creationId xmlns:a16="http://schemas.microsoft.com/office/drawing/2014/main" id="{00000000-0008-0000-0600-0000E3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740" name="Group 61">
          <a:extLst>
            <a:ext uri="{FF2B5EF4-FFF2-40B4-BE49-F238E27FC236}">
              <a16:creationId xmlns:a16="http://schemas.microsoft.com/office/drawing/2014/main" id="{00000000-0008-0000-0600-0000E402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741" name="Text Box 62">
            <a:extLst>
              <a:ext uri="{FF2B5EF4-FFF2-40B4-BE49-F238E27FC236}">
                <a16:creationId xmlns:a16="http://schemas.microsoft.com/office/drawing/2014/main" id="{00000000-0008-0000-0600-0000E502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742" name="Text Box 63">
            <a:extLst>
              <a:ext uri="{FF2B5EF4-FFF2-40B4-BE49-F238E27FC236}">
                <a16:creationId xmlns:a16="http://schemas.microsoft.com/office/drawing/2014/main" id="{00000000-0008-0000-0600-0000E602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743" name="Group 64">
            <a:extLst>
              <a:ext uri="{FF2B5EF4-FFF2-40B4-BE49-F238E27FC236}">
                <a16:creationId xmlns:a16="http://schemas.microsoft.com/office/drawing/2014/main" id="{00000000-0008-0000-0600-0000E702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744" name="Text Box 65">
              <a:extLst>
                <a:ext uri="{FF2B5EF4-FFF2-40B4-BE49-F238E27FC236}">
                  <a16:creationId xmlns:a16="http://schemas.microsoft.com/office/drawing/2014/main" id="{00000000-0008-0000-0600-0000E8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745" name="Text Box 66">
              <a:extLst>
                <a:ext uri="{FF2B5EF4-FFF2-40B4-BE49-F238E27FC236}">
                  <a16:creationId xmlns:a16="http://schemas.microsoft.com/office/drawing/2014/main" id="{00000000-0008-0000-0600-0000E902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106" name="Group 67">
          <a:extLst>
            <a:ext uri="{FF2B5EF4-FFF2-40B4-BE49-F238E27FC236}">
              <a16:creationId xmlns:a16="http://schemas.microsoft.com/office/drawing/2014/main" id="{00000000-0008-0000-0600-000052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107" name="Text Box 68">
            <a:extLst>
              <a:ext uri="{FF2B5EF4-FFF2-40B4-BE49-F238E27FC236}">
                <a16:creationId xmlns:a16="http://schemas.microsoft.com/office/drawing/2014/main" id="{00000000-0008-0000-0600-000053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08" name="Text Box 69">
            <a:extLst>
              <a:ext uri="{FF2B5EF4-FFF2-40B4-BE49-F238E27FC236}">
                <a16:creationId xmlns:a16="http://schemas.microsoft.com/office/drawing/2014/main" id="{00000000-0008-0000-0600-000054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09" name="Group 70">
            <a:extLst>
              <a:ext uri="{FF2B5EF4-FFF2-40B4-BE49-F238E27FC236}">
                <a16:creationId xmlns:a16="http://schemas.microsoft.com/office/drawing/2014/main" id="{00000000-0008-0000-0600-000055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110" name="Text Box 71">
              <a:extLst>
                <a:ext uri="{FF2B5EF4-FFF2-40B4-BE49-F238E27FC236}">
                  <a16:creationId xmlns:a16="http://schemas.microsoft.com/office/drawing/2014/main" id="{00000000-0008-0000-0600-000056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111" name="Text Box 72">
              <a:extLst>
                <a:ext uri="{FF2B5EF4-FFF2-40B4-BE49-F238E27FC236}">
                  <a16:creationId xmlns:a16="http://schemas.microsoft.com/office/drawing/2014/main" id="{00000000-0008-0000-0600-000057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112" name="Group 73">
          <a:extLst>
            <a:ext uri="{FF2B5EF4-FFF2-40B4-BE49-F238E27FC236}">
              <a16:creationId xmlns:a16="http://schemas.microsoft.com/office/drawing/2014/main" id="{00000000-0008-0000-0600-000058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113" name="Text Box 74">
            <a:extLst>
              <a:ext uri="{FF2B5EF4-FFF2-40B4-BE49-F238E27FC236}">
                <a16:creationId xmlns:a16="http://schemas.microsoft.com/office/drawing/2014/main" id="{00000000-0008-0000-0600-000059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14" name="Text Box 75">
            <a:extLst>
              <a:ext uri="{FF2B5EF4-FFF2-40B4-BE49-F238E27FC236}">
                <a16:creationId xmlns:a16="http://schemas.microsoft.com/office/drawing/2014/main" id="{00000000-0008-0000-0600-00005A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15" name="Group 76">
            <a:extLst>
              <a:ext uri="{FF2B5EF4-FFF2-40B4-BE49-F238E27FC236}">
                <a16:creationId xmlns:a16="http://schemas.microsoft.com/office/drawing/2014/main" id="{00000000-0008-0000-0600-00005B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116" name="Text Box 77">
              <a:extLst>
                <a:ext uri="{FF2B5EF4-FFF2-40B4-BE49-F238E27FC236}">
                  <a16:creationId xmlns:a16="http://schemas.microsoft.com/office/drawing/2014/main" id="{00000000-0008-0000-0600-00005C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117" name="Text Box 78">
              <a:extLst>
                <a:ext uri="{FF2B5EF4-FFF2-40B4-BE49-F238E27FC236}">
                  <a16:creationId xmlns:a16="http://schemas.microsoft.com/office/drawing/2014/main" id="{00000000-0008-0000-0600-00005D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118" name="Group 79">
          <a:extLst>
            <a:ext uri="{FF2B5EF4-FFF2-40B4-BE49-F238E27FC236}">
              <a16:creationId xmlns:a16="http://schemas.microsoft.com/office/drawing/2014/main" id="{00000000-0008-0000-0600-00005E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119" name="Text Box 80">
            <a:extLst>
              <a:ext uri="{FF2B5EF4-FFF2-40B4-BE49-F238E27FC236}">
                <a16:creationId xmlns:a16="http://schemas.microsoft.com/office/drawing/2014/main" id="{00000000-0008-0000-0600-00005F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20" name="Text Box 81">
            <a:extLst>
              <a:ext uri="{FF2B5EF4-FFF2-40B4-BE49-F238E27FC236}">
                <a16:creationId xmlns:a16="http://schemas.microsoft.com/office/drawing/2014/main" id="{00000000-0008-0000-0600-000060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21" name="Group 82">
            <a:extLst>
              <a:ext uri="{FF2B5EF4-FFF2-40B4-BE49-F238E27FC236}">
                <a16:creationId xmlns:a16="http://schemas.microsoft.com/office/drawing/2014/main" id="{00000000-0008-0000-0600-000061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122" name="Text Box 83">
              <a:extLst>
                <a:ext uri="{FF2B5EF4-FFF2-40B4-BE49-F238E27FC236}">
                  <a16:creationId xmlns:a16="http://schemas.microsoft.com/office/drawing/2014/main" id="{00000000-0008-0000-0600-000062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123" name="Text Box 84">
              <a:extLst>
                <a:ext uri="{FF2B5EF4-FFF2-40B4-BE49-F238E27FC236}">
                  <a16:creationId xmlns:a16="http://schemas.microsoft.com/office/drawing/2014/main" id="{00000000-0008-0000-0600-000063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124" name="Group 85">
          <a:extLst>
            <a:ext uri="{FF2B5EF4-FFF2-40B4-BE49-F238E27FC236}">
              <a16:creationId xmlns:a16="http://schemas.microsoft.com/office/drawing/2014/main" id="{00000000-0008-0000-0600-000064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125" name="Text Box 86">
            <a:extLst>
              <a:ext uri="{FF2B5EF4-FFF2-40B4-BE49-F238E27FC236}">
                <a16:creationId xmlns:a16="http://schemas.microsoft.com/office/drawing/2014/main" id="{00000000-0008-0000-0600-000065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26" name="Text Box 87">
            <a:extLst>
              <a:ext uri="{FF2B5EF4-FFF2-40B4-BE49-F238E27FC236}">
                <a16:creationId xmlns:a16="http://schemas.microsoft.com/office/drawing/2014/main" id="{00000000-0008-0000-0600-000066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27" name="Group 88">
            <a:extLst>
              <a:ext uri="{FF2B5EF4-FFF2-40B4-BE49-F238E27FC236}">
                <a16:creationId xmlns:a16="http://schemas.microsoft.com/office/drawing/2014/main" id="{00000000-0008-0000-0600-000067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128" name="Text Box 89">
              <a:extLst>
                <a:ext uri="{FF2B5EF4-FFF2-40B4-BE49-F238E27FC236}">
                  <a16:creationId xmlns:a16="http://schemas.microsoft.com/office/drawing/2014/main" id="{00000000-0008-0000-0600-000068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129" name="Text Box 90">
              <a:extLst>
                <a:ext uri="{FF2B5EF4-FFF2-40B4-BE49-F238E27FC236}">
                  <a16:creationId xmlns:a16="http://schemas.microsoft.com/office/drawing/2014/main" id="{00000000-0008-0000-0600-000069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130" name="Group 91">
          <a:extLst>
            <a:ext uri="{FF2B5EF4-FFF2-40B4-BE49-F238E27FC236}">
              <a16:creationId xmlns:a16="http://schemas.microsoft.com/office/drawing/2014/main" id="{00000000-0008-0000-0600-00006A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131" name="Text Box 92">
            <a:extLst>
              <a:ext uri="{FF2B5EF4-FFF2-40B4-BE49-F238E27FC236}">
                <a16:creationId xmlns:a16="http://schemas.microsoft.com/office/drawing/2014/main" id="{00000000-0008-0000-0600-00006B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32" name="Text Box 93">
            <a:extLst>
              <a:ext uri="{FF2B5EF4-FFF2-40B4-BE49-F238E27FC236}">
                <a16:creationId xmlns:a16="http://schemas.microsoft.com/office/drawing/2014/main" id="{00000000-0008-0000-0600-00006C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33" name="Group 94">
            <a:extLst>
              <a:ext uri="{FF2B5EF4-FFF2-40B4-BE49-F238E27FC236}">
                <a16:creationId xmlns:a16="http://schemas.microsoft.com/office/drawing/2014/main" id="{00000000-0008-0000-0600-00006D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134" name="Text Box 95">
              <a:extLst>
                <a:ext uri="{FF2B5EF4-FFF2-40B4-BE49-F238E27FC236}">
                  <a16:creationId xmlns:a16="http://schemas.microsoft.com/office/drawing/2014/main" id="{00000000-0008-0000-0600-00006E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135" name="Text Box 96">
              <a:extLst>
                <a:ext uri="{FF2B5EF4-FFF2-40B4-BE49-F238E27FC236}">
                  <a16:creationId xmlns:a16="http://schemas.microsoft.com/office/drawing/2014/main" id="{00000000-0008-0000-0600-00006F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136" name="Group 61">
          <a:extLst>
            <a:ext uri="{FF2B5EF4-FFF2-40B4-BE49-F238E27FC236}">
              <a16:creationId xmlns:a16="http://schemas.microsoft.com/office/drawing/2014/main" id="{00000000-0008-0000-0600-000070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137" name="Text Box 62">
            <a:extLst>
              <a:ext uri="{FF2B5EF4-FFF2-40B4-BE49-F238E27FC236}">
                <a16:creationId xmlns:a16="http://schemas.microsoft.com/office/drawing/2014/main" id="{00000000-0008-0000-0600-000071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38" name="Text Box 63">
            <a:extLst>
              <a:ext uri="{FF2B5EF4-FFF2-40B4-BE49-F238E27FC236}">
                <a16:creationId xmlns:a16="http://schemas.microsoft.com/office/drawing/2014/main" id="{00000000-0008-0000-0600-000072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39" name="Group 64">
            <a:extLst>
              <a:ext uri="{FF2B5EF4-FFF2-40B4-BE49-F238E27FC236}">
                <a16:creationId xmlns:a16="http://schemas.microsoft.com/office/drawing/2014/main" id="{00000000-0008-0000-0600-000073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140" name="Text Box 65">
              <a:extLst>
                <a:ext uri="{FF2B5EF4-FFF2-40B4-BE49-F238E27FC236}">
                  <a16:creationId xmlns:a16="http://schemas.microsoft.com/office/drawing/2014/main" id="{00000000-0008-0000-0600-000074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141" name="Text Box 66">
              <a:extLst>
                <a:ext uri="{FF2B5EF4-FFF2-40B4-BE49-F238E27FC236}">
                  <a16:creationId xmlns:a16="http://schemas.microsoft.com/office/drawing/2014/main" id="{00000000-0008-0000-0600-000075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142" name="Group 67">
          <a:extLst>
            <a:ext uri="{FF2B5EF4-FFF2-40B4-BE49-F238E27FC236}">
              <a16:creationId xmlns:a16="http://schemas.microsoft.com/office/drawing/2014/main" id="{00000000-0008-0000-0600-000076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143" name="Text Box 68">
            <a:extLst>
              <a:ext uri="{FF2B5EF4-FFF2-40B4-BE49-F238E27FC236}">
                <a16:creationId xmlns:a16="http://schemas.microsoft.com/office/drawing/2014/main" id="{00000000-0008-0000-0600-000077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44" name="Text Box 69">
            <a:extLst>
              <a:ext uri="{FF2B5EF4-FFF2-40B4-BE49-F238E27FC236}">
                <a16:creationId xmlns:a16="http://schemas.microsoft.com/office/drawing/2014/main" id="{00000000-0008-0000-0600-000078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45" name="Group 70">
            <a:extLst>
              <a:ext uri="{FF2B5EF4-FFF2-40B4-BE49-F238E27FC236}">
                <a16:creationId xmlns:a16="http://schemas.microsoft.com/office/drawing/2014/main" id="{00000000-0008-0000-0600-000079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146" name="Text Box 71">
              <a:extLst>
                <a:ext uri="{FF2B5EF4-FFF2-40B4-BE49-F238E27FC236}">
                  <a16:creationId xmlns:a16="http://schemas.microsoft.com/office/drawing/2014/main" id="{00000000-0008-0000-0600-00007A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147" name="Text Box 72">
              <a:extLst>
                <a:ext uri="{FF2B5EF4-FFF2-40B4-BE49-F238E27FC236}">
                  <a16:creationId xmlns:a16="http://schemas.microsoft.com/office/drawing/2014/main" id="{00000000-0008-0000-0600-00007B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148" name="Group 73">
          <a:extLst>
            <a:ext uri="{FF2B5EF4-FFF2-40B4-BE49-F238E27FC236}">
              <a16:creationId xmlns:a16="http://schemas.microsoft.com/office/drawing/2014/main" id="{00000000-0008-0000-0600-00007C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149" name="Text Box 74">
            <a:extLst>
              <a:ext uri="{FF2B5EF4-FFF2-40B4-BE49-F238E27FC236}">
                <a16:creationId xmlns:a16="http://schemas.microsoft.com/office/drawing/2014/main" id="{00000000-0008-0000-0600-00007D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50" name="Text Box 75">
            <a:extLst>
              <a:ext uri="{FF2B5EF4-FFF2-40B4-BE49-F238E27FC236}">
                <a16:creationId xmlns:a16="http://schemas.microsoft.com/office/drawing/2014/main" id="{00000000-0008-0000-0600-00007E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51" name="Group 76">
            <a:extLst>
              <a:ext uri="{FF2B5EF4-FFF2-40B4-BE49-F238E27FC236}">
                <a16:creationId xmlns:a16="http://schemas.microsoft.com/office/drawing/2014/main" id="{00000000-0008-0000-0600-00007F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152" name="Text Box 77">
              <a:extLst>
                <a:ext uri="{FF2B5EF4-FFF2-40B4-BE49-F238E27FC236}">
                  <a16:creationId xmlns:a16="http://schemas.microsoft.com/office/drawing/2014/main" id="{00000000-0008-0000-0600-000080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153" name="Text Box 78">
              <a:extLst>
                <a:ext uri="{FF2B5EF4-FFF2-40B4-BE49-F238E27FC236}">
                  <a16:creationId xmlns:a16="http://schemas.microsoft.com/office/drawing/2014/main" id="{00000000-0008-0000-0600-000081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154" name="Group 79">
          <a:extLst>
            <a:ext uri="{FF2B5EF4-FFF2-40B4-BE49-F238E27FC236}">
              <a16:creationId xmlns:a16="http://schemas.microsoft.com/office/drawing/2014/main" id="{00000000-0008-0000-0600-000082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155" name="Text Box 80">
            <a:extLst>
              <a:ext uri="{FF2B5EF4-FFF2-40B4-BE49-F238E27FC236}">
                <a16:creationId xmlns:a16="http://schemas.microsoft.com/office/drawing/2014/main" id="{00000000-0008-0000-0600-000083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56" name="Text Box 81">
            <a:extLst>
              <a:ext uri="{FF2B5EF4-FFF2-40B4-BE49-F238E27FC236}">
                <a16:creationId xmlns:a16="http://schemas.microsoft.com/office/drawing/2014/main" id="{00000000-0008-0000-0600-000084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57" name="Group 82">
            <a:extLst>
              <a:ext uri="{FF2B5EF4-FFF2-40B4-BE49-F238E27FC236}">
                <a16:creationId xmlns:a16="http://schemas.microsoft.com/office/drawing/2014/main" id="{00000000-0008-0000-0600-000085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158" name="Text Box 83">
              <a:extLst>
                <a:ext uri="{FF2B5EF4-FFF2-40B4-BE49-F238E27FC236}">
                  <a16:creationId xmlns:a16="http://schemas.microsoft.com/office/drawing/2014/main" id="{00000000-0008-0000-0600-000086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159" name="Text Box 84">
              <a:extLst>
                <a:ext uri="{FF2B5EF4-FFF2-40B4-BE49-F238E27FC236}">
                  <a16:creationId xmlns:a16="http://schemas.microsoft.com/office/drawing/2014/main" id="{00000000-0008-0000-0600-000087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160" name="Group 85">
          <a:extLst>
            <a:ext uri="{FF2B5EF4-FFF2-40B4-BE49-F238E27FC236}">
              <a16:creationId xmlns:a16="http://schemas.microsoft.com/office/drawing/2014/main" id="{00000000-0008-0000-0600-000088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161" name="Text Box 86">
            <a:extLst>
              <a:ext uri="{FF2B5EF4-FFF2-40B4-BE49-F238E27FC236}">
                <a16:creationId xmlns:a16="http://schemas.microsoft.com/office/drawing/2014/main" id="{00000000-0008-0000-0600-000089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62" name="Text Box 87">
            <a:extLst>
              <a:ext uri="{FF2B5EF4-FFF2-40B4-BE49-F238E27FC236}">
                <a16:creationId xmlns:a16="http://schemas.microsoft.com/office/drawing/2014/main" id="{00000000-0008-0000-0600-00008A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63" name="Group 88">
            <a:extLst>
              <a:ext uri="{FF2B5EF4-FFF2-40B4-BE49-F238E27FC236}">
                <a16:creationId xmlns:a16="http://schemas.microsoft.com/office/drawing/2014/main" id="{00000000-0008-0000-0600-00008B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164" name="Text Box 89">
              <a:extLst>
                <a:ext uri="{FF2B5EF4-FFF2-40B4-BE49-F238E27FC236}">
                  <a16:creationId xmlns:a16="http://schemas.microsoft.com/office/drawing/2014/main" id="{00000000-0008-0000-0600-00008C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165" name="Text Box 90">
              <a:extLst>
                <a:ext uri="{FF2B5EF4-FFF2-40B4-BE49-F238E27FC236}">
                  <a16:creationId xmlns:a16="http://schemas.microsoft.com/office/drawing/2014/main" id="{00000000-0008-0000-0600-00008D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166" name="Group 91">
          <a:extLst>
            <a:ext uri="{FF2B5EF4-FFF2-40B4-BE49-F238E27FC236}">
              <a16:creationId xmlns:a16="http://schemas.microsoft.com/office/drawing/2014/main" id="{00000000-0008-0000-0600-00008E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167" name="Text Box 92">
            <a:extLst>
              <a:ext uri="{FF2B5EF4-FFF2-40B4-BE49-F238E27FC236}">
                <a16:creationId xmlns:a16="http://schemas.microsoft.com/office/drawing/2014/main" id="{00000000-0008-0000-0600-00008F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68" name="Text Box 93">
            <a:extLst>
              <a:ext uri="{FF2B5EF4-FFF2-40B4-BE49-F238E27FC236}">
                <a16:creationId xmlns:a16="http://schemas.microsoft.com/office/drawing/2014/main" id="{00000000-0008-0000-0600-000090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69" name="Group 94">
            <a:extLst>
              <a:ext uri="{FF2B5EF4-FFF2-40B4-BE49-F238E27FC236}">
                <a16:creationId xmlns:a16="http://schemas.microsoft.com/office/drawing/2014/main" id="{00000000-0008-0000-0600-000091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170" name="Text Box 95">
              <a:extLst>
                <a:ext uri="{FF2B5EF4-FFF2-40B4-BE49-F238E27FC236}">
                  <a16:creationId xmlns:a16="http://schemas.microsoft.com/office/drawing/2014/main" id="{00000000-0008-0000-0600-000092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171" name="Text Box 96">
              <a:extLst>
                <a:ext uri="{FF2B5EF4-FFF2-40B4-BE49-F238E27FC236}">
                  <a16:creationId xmlns:a16="http://schemas.microsoft.com/office/drawing/2014/main" id="{00000000-0008-0000-0600-000093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172" name="Group 1">
          <a:extLst>
            <a:ext uri="{FF2B5EF4-FFF2-40B4-BE49-F238E27FC236}">
              <a16:creationId xmlns:a16="http://schemas.microsoft.com/office/drawing/2014/main" id="{00000000-0008-0000-0600-00009404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1173" name="Text Box 2">
            <a:extLst>
              <a:ext uri="{FF2B5EF4-FFF2-40B4-BE49-F238E27FC236}">
                <a16:creationId xmlns:a16="http://schemas.microsoft.com/office/drawing/2014/main" id="{00000000-0008-0000-0600-000095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74" name="Text Box 3">
            <a:extLst>
              <a:ext uri="{FF2B5EF4-FFF2-40B4-BE49-F238E27FC236}">
                <a16:creationId xmlns:a16="http://schemas.microsoft.com/office/drawing/2014/main" id="{00000000-0008-0000-0600-000096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75" name="Group 4">
            <a:extLst>
              <a:ext uri="{FF2B5EF4-FFF2-40B4-BE49-F238E27FC236}">
                <a16:creationId xmlns:a16="http://schemas.microsoft.com/office/drawing/2014/main" id="{00000000-0008-0000-0600-000097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176" name="Text Box 5">
              <a:extLst>
                <a:ext uri="{FF2B5EF4-FFF2-40B4-BE49-F238E27FC236}">
                  <a16:creationId xmlns:a16="http://schemas.microsoft.com/office/drawing/2014/main" id="{00000000-0008-0000-0600-000098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177" name="Text Box 6">
              <a:extLst>
                <a:ext uri="{FF2B5EF4-FFF2-40B4-BE49-F238E27FC236}">
                  <a16:creationId xmlns:a16="http://schemas.microsoft.com/office/drawing/2014/main" id="{00000000-0008-0000-0600-000099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178" name="Group 7">
          <a:extLst>
            <a:ext uri="{FF2B5EF4-FFF2-40B4-BE49-F238E27FC236}">
              <a16:creationId xmlns:a16="http://schemas.microsoft.com/office/drawing/2014/main" id="{00000000-0008-0000-0600-00009A04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1179" name="Text Box 8">
            <a:extLst>
              <a:ext uri="{FF2B5EF4-FFF2-40B4-BE49-F238E27FC236}">
                <a16:creationId xmlns:a16="http://schemas.microsoft.com/office/drawing/2014/main" id="{00000000-0008-0000-0600-00009B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80" name="Text Box 9">
            <a:extLst>
              <a:ext uri="{FF2B5EF4-FFF2-40B4-BE49-F238E27FC236}">
                <a16:creationId xmlns:a16="http://schemas.microsoft.com/office/drawing/2014/main" id="{00000000-0008-0000-0600-00009C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81" name="Group 10">
            <a:extLst>
              <a:ext uri="{FF2B5EF4-FFF2-40B4-BE49-F238E27FC236}">
                <a16:creationId xmlns:a16="http://schemas.microsoft.com/office/drawing/2014/main" id="{00000000-0008-0000-0600-00009D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182" name="Text Box 11">
              <a:extLst>
                <a:ext uri="{FF2B5EF4-FFF2-40B4-BE49-F238E27FC236}">
                  <a16:creationId xmlns:a16="http://schemas.microsoft.com/office/drawing/2014/main" id="{00000000-0008-0000-0600-00009E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183" name="Text Box 12">
              <a:extLst>
                <a:ext uri="{FF2B5EF4-FFF2-40B4-BE49-F238E27FC236}">
                  <a16:creationId xmlns:a16="http://schemas.microsoft.com/office/drawing/2014/main" id="{00000000-0008-0000-0600-00009F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184" name="Group 13">
          <a:extLst>
            <a:ext uri="{FF2B5EF4-FFF2-40B4-BE49-F238E27FC236}">
              <a16:creationId xmlns:a16="http://schemas.microsoft.com/office/drawing/2014/main" id="{00000000-0008-0000-0600-0000A004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1185" name="Text Box 14">
            <a:extLst>
              <a:ext uri="{FF2B5EF4-FFF2-40B4-BE49-F238E27FC236}">
                <a16:creationId xmlns:a16="http://schemas.microsoft.com/office/drawing/2014/main" id="{00000000-0008-0000-0600-0000A1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86" name="Text Box 15">
            <a:extLst>
              <a:ext uri="{FF2B5EF4-FFF2-40B4-BE49-F238E27FC236}">
                <a16:creationId xmlns:a16="http://schemas.microsoft.com/office/drawing/2014/main" id="{00000000-0008-0000-0600-0000A2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87" name="Group 16">
            <a:extLst>
              <a:ext uri="{FF2B5EF4-FFF2-40B4-BE49-F238E27FC236}">
                <a16:creationId xmlns:a16="http://schemas.microsoft.com/office/drawing/2014/main" id="{00000000-0008-0000-0600-0000A3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188" name="Text Box 17">
              <a:extLst>
                <a:ext uri="{FF2B5EF4-FFF2-40B4-BE49-F238E27FC236}">
                  <a16:creationId xmlns:a16="http://schemas.microsoft.com/office/drawing/2014/main" id="{00000000-0008-0000-0600-0000A4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189" name="Text Box 18">
              <a:extLst>
                <a:ext uri="{FF2B5EF4-FFF2-40B4-BE49-F238E27FC236}">
                  <a16:creationId xmlns:a16="http://schemas.microsoft.com/office/drawing/2014/main" id="{00000000-0008-0000-0600-0000A5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190" name="Group 61">
          <a:extLst>
            <a:ext uri="{FF2B5EF4-FFF2-40B4-BE49-F238E27FC236}">
              <a16:creationId xmlns:a16="http://schemas.microsoft.com/office/drawing/2014/main" id="{00000000-0008-0000-0600-0000A6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191" name="Text Box 62">
            <a:extLst>
              <a:ext uri="{FF2B5EF4-FFF2-40B4-BE49-F238E27FC236}">
                <a16:creationId xmlns:a16="http://schemas.microsoft.com/office/drawing/2014/main" id="{00000000-0008-0000-0600-0000A7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92" name="Text Box 63">
            <a:extLst>
              <a:ext uri="{FF2B5EF4-FFF2-40B4-BE49-F238E27FC236}">
                <a16:creationId xmlns:a16="http://schemas.microsoft.com/office/drawing/2014/main" id="{00000000-0008-0000-0600-0000A8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93" name="Group 64">
            <a:extLst>
              <a:ext uri="{FF2B5EF4-FFF2-40B4-BE49-F238E27FC236}">
                <a16:creationId xmlns:a16="http://schemas.microsoft.com/office/drawing/2014/main" id="{00000000-0008-0000-0600-0000A9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194" name="Text Box 65">
              <a:extLst>
                <a:ext uri="{FF2B5EF4-FFF2-40B4-BE49-F238E27FC236}">
                  <a16:creationId xmlns:a16="http://schemas.microsoft.com/office/drawing/2014/main" id="{00000000-0008-0000-0600-0000AA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195" name="Text Box 66">
              <a:extLst>
                <a:ext uri="{FF2B5EF4-FFF2-40B4-BE49-F238E27FC236}">
                  <a16:creationId xmlns:a16="http://schemas.microsoft.com/office/drawing/2014/main" id="{00000000-0008-0000-0600-0000AB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196" name="Group 67">
          <a:extLst>
            <a:ext uri="{FF2B5EF4-FFF2-40B4-BE49-F238E27FC236}">
              <a16:creationId xmlns:a16="http://schemas.microsoft.com/office/drawing/2014/main" id="{00000000-0008-0000-0600-0000AC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197" name="Text Box 68">
            <a:extLst>
              <a:ext uri="{FF2B5EF4-FFF2-40B4-BE49-F238E27FC236}">
                <a16:creationId xmlns:a16="http://schemas.microsoft.com/office/drawing/2014/main" id="{00000000-0008-0000-0600-0000AD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198" name="Text Box 69">
            <a:extLst>
              <a:ext uri="{FF2B5EF4-FFF2-40B4-BE49-F238E27FC236}">
                <a16:creationId xmlns:a16="http://schemas.microsoft.com/office/drawing/2014/main" id="{00000000-0008-0000-0600-0000AE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199" name="Group 70">
            <a:extLst>
              <a:ext uri="{FF2B5EF4-FFF2-40B4-BE49-F238E27FC236}">
                <a16:creationId xmlns:a16="http://schemas.microsoft.com/office/drawing/2014/main" id="{00000000-0008-0000-0600-0000AF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00" name="Text Box 71">
              <a:extLst>
                <a:ext uri="{FF2B5EF4-FFF2-40B4-BE49-F238E27FC236}">
                  <a16:creationId xmlns:a16="http://schemas.microsoft.com/office/drawing/2014/main" id="{00000000-0008-0000-0600-0000B0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201" name="Text Box 72">
              <a:extLst>
                <a:ext uri="{FF2B5EF4-FFF2-40B4-BE49-F238E27FC236}">
                  <a16:creationId xmlns:a16="http://schemas.microsoft.com/office/drawing/2014/main" id="{00000000-0008-0000-0600-0000B1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202" name="Group 73">
          <a:extLst>
            <a:ext uri="{FF2B5EF4-FFF2-40B4-BE49-F238E27FC236}">
              <a16:creationId xmlns:a16="http://schemas.microsoft.com/office/drawing/2014/main" id="{00000000-0008-0000-0600-0000B2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203" name="Text Box 74">
            <a:extLst>
              <a:ext uri="{FF2B5EF4-FFF2-40B4-BE49-F238E27FC236}">
                <a16:creationId xmlns:a16="http://schemas.microsoft.com/office/drawing/2014/main" id="{00000000-0008-0000-0600-0000B3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204" name="Text Box 75">
            <a:extLst>
              <a:ext uri="{FF2B5EF4-FFF2-40B4-BE49-F238E27FC236}">
                <a16:creationId xmlns:a16="http://schemas.microsoft.com/office/drawing/2014/main" id="{00000000-0008-0000-0600-0000B4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205" name="Group 76">
            <a:extLst>
              <a:ext uri="{FF2B5EF4-FFF2-40B4-BE49-F238E27FC236}">
                <a16:creationId xmlns:a16="http://schemas.microsoft.com/office/drawing/2014/main" id="{00000000-0008-0000-0600-0000B5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06" name="Text Box 77">
              <a:extLst>
                <a:ext uri="{FF2B5EF4-FFF2-40B4-BE49-F238E27FC236}">
                  <a16:creationId xmlns:a16="http://schemas.microsoft.com/office/drawing/2014/main" id="{00000000-0008-0000-0600-0000B6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207" name="Text Box 78">
              <a:extLst>
                <a:ext uri="{FF2B5EF4-FFF2-40B4-BE49-F238E27FC236}">
                  <a16:creationId xmlns:a16="http://schemas.microsoft.com/office/drawing/2014/main" id="{00000000-0008-0000-0600-0000B7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208" name="Group 79">
          <a:extLst>
            <a:ext uri="{FF2B5EF4-FFF2-40B4-BE49-F238E27FC236}">
              <a16:creationId xmlns:a16="http://schemas.microsoft.com/office/drawing/2014/main" id="{00000000-0008-0000-0600-0000B8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209" name="Text Box 80">
            <a:extLst>
              <a:ext uri="{FF2B5EF4-FFF2-40B4-BE49-F238E27FC236}">
                <a16:creationId xmlns:a16="http://schemas.microsoft.com/office/drawing/2014/main" id="{00000000-0008-0000-0600-0000B9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210" name="Text Box 81">
            <a:extLst>
              <a:ext uri="{FF2B5EF4-FFF2-40B4-BE49-F238E27FC236}">
                <a16:creationId xmlns:a16="http://schemas.microsoft.com/office/drawing/2014/main" id="{00000000-0008-0000-0600-0000BA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211" name="Group 82">
            <a:extLst>
              <a:ext uri="{FF2B5EF4-FFF2-40B4-BE49-F238E27FC236}">
                <a16:creationId xmlns:a16="http://schemas.microsoft.com/office/drawing/2014/main" id="{00000000-0008-0000-0600-0000BB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12" name="Text Box 83">
              <a:extLst>
                <a:ext uri="{FF2B5EF4-FFF2-40B4-BE49-F238E27FC236}">
                  <a16:creationId xmlns:a16="http://schemas.microsoft.com/office/drawing/2014/main" id="{00000000-0008-0000-0600-0000BC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213" name="Text Box 84">
              <a:extLst>
                <a:ext uri="{FF2B5EF4-FFF2-40B4-BE49-F238E27FC236}">
                  <a16:creationId xmlns:a16="http://schemas.microsoft.com/office/drawing/2014/main" id="{00000000-0008-0000-0600-0000BD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214" name="Group 85">
          <a:extLst>
            <a:ext uri="{FF2B5EF4-FFF2-40B4-BE49-F238E27FC236}">
              <a16:creationId xmlns:a16="http://schemas.microsoft.com/office/drawing/2014/main" id="{00000000-0008-0000-0600-0000BE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215" name="Text Box 86">
            <a:extLst>
              <a:ext uri="{FF2B5EF4-FFF2-40B4-BE49-F238E27FC236}">
                <a16:creationId xmlns:a16="http://schemas.microsoft.com/office/drawing/2014/main" id="{00000000-0008-0000-0600-0000BF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216" name="Text Box 87">
            <a:extLst>
              <a:ext uri="{FF2B5EF4-FFF2-40B4-BE49-F238E27FC236}">
                <a16:creationId xmlns:a16="http://schemas.microsoft.com/office/drawing/2014/main" id="{00000000-0008-0000-0600-0000C0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217" name="Group 88">
            <a:extLst>
              <a:ext uri="{FF2B5EF4-FFF2-40B4-BE49-F238E27FC236}">
                <a16:creationId xmlns:a16="http://schemas.microsoft.com/office/drawing/2014/main" id="{00000000-0008-0000-0600-0000C1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18" name="Text Box 89">
              <a:extLst>
                <a:ext uri="{FF2B5EF4-FFF2-40B4-BE49-F238E27FC236}">
                  <a16:creationId xmlns:a16="http://schemas.microsoft.com/office/drawing/2014/main" id="{00000000-0008-0000-0600-0000C2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219" name="Text Box 90">
              <a:extLst>
                <a:ext uri="{FF2B5EF4-FFF2-40B4-BE49-F238E27FC236}">
                  <a16:creationId xmlns:a16="http://schemas.microsoft.com/office/drawing/2014/main" id="{00000000-0008-0000-0600-0000C3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220" name="Group 91">
          <a:extLst>
            <a:ext uri="{FF2B5EF4-FFF2-40B4-BE49-F238E27FC236}">
              <a16:creationId xmlns:a16="http://schemas.microsoft.com/office/drawing/2014/main" id="{00000000-0008-0000-0600-0000C4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221" name="Text Box 92">
            <a:extLst>
              <a:ext uri="{FF2B5EF4-FFF2-40B4-BE49-F238E27FC236}">
                <a16:creationId xmlns:a16="http://schemas.microsoft.com/office/drawing/2014/main" id="{00000000-0008-0000-0600-0000C5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222" name="Text Box 93">
            <a:extLst>
              <a:ext uri="{FF2B5EF4-FFF2-40B4-BE49-F238E27FC236}">
                <a16:creationId xmlns:a16="http://schemas.microsoft.com/office/drawing/2014/main" id="{00000000-0008-0000-0600-0000C6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223" name="Group 94">
            <a:extLst>
              <a:ext uri="{FF2B5EF4-FFF2-40B4-BE49-F238E27FC236}">
                <a16:creationId xmlns:a16="http://schemas.microsoft.com/office/drawing/2014/main" id="{00000000-0008-0000-0600-0000C7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24" name="Text Box 95">
              <a:extLst>
                <a:ext uri="{FF2B5EF4-FFF2-40B4-BE49-F238E27FC236}">
                  <a16:creationId xmlns:a16="http://schemas.microsoft.com/office/drawing/2014/main" id="{00000000-0008-0000-0600-0000C8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225" name="Text Box 96">
              <a:extLst>
                <a:ext uri="{FF2B5EF4-FFF2-40B4-BE49-F238E27FC236}">
                  <a16:creationId xmlns:a16="http://schemas.microsoft.com/office/drawing/2014/main" id="{00000000-0008-0000-0600-0000C9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226" name="Group 61">
          <a:extLst>
            <a:ext uri="{FF2B5EF4-FFF2-40B4-BE49-F238E27FC236}">
              <a16:creationId xmlns:a16="http://schemas.microsoft.com/office/drawing/2014/main" id="{00000000-0008-0000-0600-0000CA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227" name="Text Box 62">
            <a:extLst>
              <a:ext uri="{FF2B5EF4-FFF2-40B4-BE49-F238E27FC236}">
                <a16:creationId xmlns:a16="http://schemas.microsoft.com/office/drawing/2014/main" id="{00000000-0008-0000-0600-0000CB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228" name="Text Box 63">
            <a:extLst>
              <a:ext uri="{FF2B5EF4-FFF2-40B4-BE49-F238E27FC236}">
                <a16:creationId xmlns:a16="http://schemas.microsoft.com/office/drawing/2014/main" id="{00000000-0008-0000-0600-0000CC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229" name="Group 64">
            <a:extLst>
              <a:ext uri="{FF2B5EF4-FFF2-40B4-BE49-F238E27FC236}">
                <a16:creationId xmlns:a16="http://schemas.microsoft.com/office/drawing/2014/main" id="{00000000-0008-0000-0600-0000CD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30" name="Text Box 65">
              <a:extLst>
                <a:ext uri="{FF2B5EF4-FFF2-40B4-BE49-F238E27FC236}">
                  <a16:creationId xmlns:a16="http://schemas.microsoft.com/office/drawing/2014/main" id="{00000000-0008-0000-0600-0000CE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231" name="Text Box 66">
              <a:extLst>
                <a:ext uri="{FF2B5EF4-FFF2-40B4-BE49-F238E27FC236}">
                  <a16:creationId xmlns:a16="http://schemas.microsoft.com/office/drawing/2014/main" id="{00000000-0008-0000-0600-0000CF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232" name="Group 67">
          <a:extLst>
            <a:ext uri="{FF2B5EF4-FFF2-40B4-BE49-F238E27FC236}">
              <a16:creationId xmlns:a16="http://schemas.microsoft.com/office/drawing/2014/main" id="{00000000-0008-0000-0600-0000D0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233" name="Text Box 68">
            <a:extLst>
              <a:ext uri="{FF2B5EF4-FFF2-40B4-BE49-F238E27FC236}">
                <a16:creationId xmlns:a16="http://schemas.microsoft.com/office/drawing/2014/main" id="{00000000-0008-0000-0600-0000D1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234" name="Text Box 69">
            <a:extLst>
              <a:ext uri="{FF2B5EF4-FFF2-40B4-BE49-F238E27FC236}">
                <a16:creationId xmlns:a16="http://schemas.microsoft.com/office/drawing/2014/main" id="{00000000-0008-0000-0600-0000D2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235" name="Group 70">
            <a:extLst>
              <a:ext uri="{FF2B5EF4-FFF2-40B4-BE49-F238E27FC236}">
                <a16:creationId xmlns:a16="http://schemas.microsoft.com/office/drawing/2014/main" id="{00000000-0008-0000-0600-0000D3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36" name="Text Box 71">
              <a:extLst>
                <a:ext uri="{FF2B5EF4-FFF2-40B4-BE49-F238E27FC236}">
                  <a16:creationId xmlns:a16="http://schemas.microsoft.com/office/drawing/2014/main" id="{00000000-0008-0000-0600-0000D4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237" name="Text Box 72">
              <a:extLst>
                <a:ext uri="{FF2B5EF4-FFF2-40B4-BE49-F238E27FC236}">
                  <a16:creationId xmlns:a16="http://schemas.microsoft.com/office/drawing/2014/main" id="{00000000-0008-0000-0600-0000D5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238" name="Group 73">
          <a:extLst>
            <a:ext uri="{FF2B5EF4-FFF2-40B4-BE49-F238E27FC236}">
              <a16:creationId xmlns:a16="http://schemas.microsoft.com/office/drawing/2014/main" id="{00000000-0008-0000-0600-0000D6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239" name="Text Box 74">
            <a:extLst>
              <a:ext uri="{FF2B5EF4-FFF2-40B4-BE49-F238E27FC236}">
                <a16:creationId xmlns:a16="http://schemas.microsoft.com/office/drawing/2014/main" id="{00000000-0008-0000-0600-0000D7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240" name="Text Box 75">
            <a:extLst>
              <a:ext uri="{FF2B5EF4-FFF2-40B4-BE49-F238E27FC236}">
                <a16:creationId xmlns:a16="http://schemas.microsoft.com/office/drawing/2014/main" id="{00000000-0008-0000-0600-0000D8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241" name="Group 76">
            <a:extLst>
              <a:ext uri="{FF2B5EF4-FFF2-40B4-BE49-F238E27FC236}">
                <a16:creationId xmlns:a16="http://schemas.microsoft.com/office/drawing/2014/main" id="{00000000-0008-0000-0600-0000D9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42" name="Text Box 77">
              <a:extLst>
                <a:ext uri="{FF2B5EF4-FFF2-40B4-BE49-F238E27FC236}">
                  <a16:creationId xmlns:a16="http://schemas.microsoft.com/office/drawing/2014/main" id="{00000000-0008-0000-0600-0000DA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243" name="Text Box 78">
              <a:extLst>
                <a:ext uri="{FF2B5EF4-FFF2-40B4-BE49-F238E27FC236}">
                  <a16:creationId xmlns:a16="http://schemas.microsoft.com/office/drawing/2014/main" id="{00000000-0008-0000-0600-0000DB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244" name="Group 79">
          <a:extLst>
            <a:ext uri="{FF2B5EF4-FFF2-40B4-BE49-F238E27FC236}">
              <a16:creationId xmlns:a16="http://schemas.microsoft.com/office/drawing/2014/main" id="{00000000-0008-0000-0600-0000DC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245" name="Text Box 80">
            <a:extLst>
              <a:ext uri="{FF2B5EF4-FFF2-40B4-BE49-F238E27FC236}">
                <a16:creationId xmlns:a16="http://schemas.microsoft.com/office/drawing/2014/main" id="{00000000-0008-0000-0600-0000DD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246" name="Text Box 81">
            <a:extLst>
              <a:ext uri="{FF2B5EF4-FFF2-40B4-BE49-F238E27FC236}">
                <a16:creationId xmlns:a16="http://schemas.microsoft.com/office/drawing/2014/main" id="{00000000-0008-0000-0600-0000DE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247" name="Group 82">
            <a:extLst>
              <a:ext uri="{FF2B5EF4-FFF2-40B4-BE49-F238E27FC236}">
                <a16:creationId xmlns:a16="http://schemas.microsoft.com/office/drawing/2014/main" id="{00000000-0008-0000-0600-0000DF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48" name="Text Box 83">
              <a:extLst>
                <a:ext uri="{FF2B5EF4-FFF2-40B4-BE49-F238E27FC236}">
                  <a16:creationId xmlns:a16="http://schemas.microsoft.com/office/drawing/2014/main" id="{00000000-0008-0000-0600-0000E0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249" name="Text Box 84">
              <a:extLst>
                <a:ext uri="{FF2B5EF4-FFF2-40B4-BE49-F238E27FC236}">
                  <a16:creationId xmlns:a16="http://schemas.microsoft.com/office/drawing/2014/main" id="{00000000-0008-0000-0600-0000E1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250" name="Group 85">
          <a:extLst>
            <a:ext uri="{FF2B5EF4-FFF2-40B4-BE49-F238E27FC236}">
              <a16:creationId xmlns:a16="http://schemas.microsoft.com/office/drawing/2014/main" id="{00000000-0008-0000-0600-0000E2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251" name="Text Box 86">
            <a:extLst>
              <a:ext uri="{FF2B5EF4-FFF2-40B4-BE49-F238E27FC236}">
                <a16:creationId xmlns:a16="http://schemas.microsoft.com/office/drawing/2014/main" id="{00000000-0008-0000-0600-0000E3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252" name="Text Box 87">
            <a:extLst>
              <a:ext uri="{FF2B5EF4-FFF2-40B4-BE49-F238E27FC236}">
                <a16:creationId xmlns:a16="http://schemas.microsoft.com/office/drawing/2014/main" id="{00000000-0008-0000-0600-0000E4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253" name="Group 88">
            <a:extLst>
              <a:ext uri="{FF2B5EF4-FFF2-40B4-BE49-F238E27FC236}">
                <a16:creationId xmlns:a16="http://schemas.microsoft.com/office/drawing/2014/main" id="{00000000-0008-0000-0600-0000E5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54" name="Text Box 89">
              <a:extLst>
                <a:ext uri="{FF2B5EF4-FFF2-40B4-BE49-F238E27FC236}">
                  <a16:creationId xmlns:a16="http://schemas.microsoft.com/office/drawing/2014/main" id="{00000000-0008-0000-0600-0000E6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255" name="Text Box 90">
              <a:extLst>
                <a:ext uri="{FF2B5EF4-FFF2-40B4-BE49-F238E27FC236}">
                  <a16:creationId xmlns:a16="http://schemas.microsoft.com/office/drawing/2014/main" id="{00000000-0008-0000-0600-0000E7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256" name="Group 91">
          <a:extLst>
            <a:ext uri="{FF2B5EF4-FFF2-40B4-BE49-F238E27FC236}">
              <a16:creationId xmlns:a16="http://schemas.microsoft.com/office/drawing/2014/main" id="{00000000-0008-0000-0600-0000E804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257" name="Text Box 92">
            <a:extLst>
              <a:ext uri="{FF2B5EF4-FFF2-40B4-BE49-F238E27FC236}">
                <a16:creationId xmlns:a16="http://schemas.microsoft.com/office/drawing/2014/main" id="{00000000-0008-0000-0600-0000E9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258" name="Text Box 93">
            <a:extLst>
              <a:ext uri="{FF2B5EF4-FFF2-40B4-BE49-F238E27FC236}">
                <a16:creationId xmlns:a16="http://schemas.microsoft.com/office/drawing/2014/main" id="{00000000-0008-0000-0600-0000EA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259" name="Group 94">
            <a:extLst>
              <a:ext uri="{FF2B5EF4-FFF2-40B4-BE49-F238E27FC236}">
                <a16:creationId xmlns:a16="http://schemas.microsoft.com/office/drawing/2014/main" id="{00000000-0008-0000-0600-0000EB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60" name="Text Box 95">
              <a:extLst>
                <a:ext uri="{FF2B5EF4-FFF2-40B4-BE49-F238E27FC236}">
                  <a16:creationId xmlns:a16="http://schemas.microsoft.com/office/drawing/2014/main" id="{00000000-0008-0000-0600-0000EC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261" name="Text Box 96">
              <a:extLst>
                <a:ext uri="{FF2B5EF4-FFF2-40B4-BE49-F238E27FC236}">
                  <a16:creationId xmlns:a16="http://schemas.microsoft.com/office/drawing/2014/main" id="{00000000-0008-0000-0600-0000ED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262" name="Group 1">
          <a:extLst>
            <a:ext uri="{FF2B5EF4-FFF2-40B4-BE49-F238E27FC236}">
              <a16:creationId xmlns:a16="http://schemas.microsoft.com/office/drawing/2014/main" id="{00000000-0008-0000-0600-0000EE04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1263" name="Text Box 2">
            <a:extLst>
              <a:ext uri="{FF2B5EF4-FFF2-40B4-BE49-F238E27FC236}">
                <a16:creationId xmlns:a16="http://schemas.microsoft.com/office/drawing/2014/main" id="{00000000-0008-0000-0600-0000EF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264" name="Text Box 3">
            <a:extLst>
              <a:ext uri="{FF2B5EF4-FFF2-40B4-BE49-F238E27FC236}">
                <a16:creationId xmlns:a16="http://schemas.microsoft.com/office/drawing/2014/main" id="{00000000-0008-0000-0600-0000F0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265" name="Group 4">
            <a:extLst>
              <a:ext uri="{FF2B5EF4-FFF2-40B4-BE49-F238E27FC236}">
                <a16:creationId xmlns:a16="http://schemas.microsoft.com/office/drawing/2014/main" id="{00000000-0008-0000-0600-0000F1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66" name="Text Box 5">
              <a:extLst>
                <a:ext uri="{FF2B5EF4-FFF2-40B4-BE49-F238E27FC236}">
                  <a16:creationId xmlns:a16="http://schemas.microsoft.com/office/drawing/2014/main" id="{00000000-0008-0000-0600-0000F2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267" name="Text Box 6">
              <a:extLst>
                <a:ext uri="{FF2B5EF4-FFF2-40B4-BE49-F238E27FC236}">
                  <a16:creationId xmlns:a16="http://schemas.microsoft.com/office/drawing/2014/main" id="{00000000-0008-0000-0600-0000F3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268" name="Group 7">
          <a:extLst>
            <a:ext uri="{FF2B5EF4-FFF2-40B4-BE49-F238E27FC236}">
              <a16:creationId xmlns:a16="http://schemas.microsoft.com/office/drawing/2014/main" id="{00000000-0008-0000-0600-0000F404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1269" name="Text Box 8">
            <a:extLst>
              <a:ext uri="{FF2B5EF4-FFF2-40B4-BE49-F238E27FC236}">
                <a16:creationId xmlns:a16="http://schemas.microsoft.com/office/drawing/2014/main" id="{00000000-0008-0000-0600-0000F5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270" name="Text Box 9">
            <a:extLst>
              <a:ext uri="{FF2B5EF4-FFF2-40B4-BE49-F238E27FC236}">
                <a16:creationId xmlns:a16="http://schemas.microsoft.com/office/drawing/2014/main" id="{00000000-0008-0000-0600-0000F6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271" name="Group 10">
            <a:extLst>
              <a:ext uri="{FF2B5EF4-FFF2-40B4-BE49-F238E27FC236}">
                <a16:creationId xmlns:a16="http://schemas.microsoft.com/office/drawing/2014/main" id="{00000000-0008-0000-0600-0000F7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72" name="Text Box 11">
              <a:extLst>
                <a:ext uri="{FF2B5EF4-FFF2-40B4-BE49-F238E27FC236}">
                  <a16:creationId xmlns:a16="http://schemas.microsoft.com/office/drawing/2014/main" id="{00000000-0008-0000-0600-0000F8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273" name="Text Box 12">
              <a:extLst>
                <a:ext uri="{FF2B5EF4-FFF2-40B4-BE49-F238E27FC236}">
                  <a16:creationId xmlns:a16="http://schemas.microsoft.com/office/drawing/2014/main" id="{00000000-0008-0000-0600-0000F9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274" name="Group 13">
          <a:extLst>
            <a:ext uri="{FF2B5EF4-FFF2-40B4-BE49-F238E27FC236}">
              <a16:creationId xmlns:a16="http://schemas.microsoft.com/office/drawing/2014/main" id="{00000000-0008-0000-0600-0000FA04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1275" name="Text Box 14">
            <a:extLst>
              <a:ext uri="{FF2B5EF4-FFF2-40B4-BE49-F238E27FC236}">
                <a16:creationId xmlns:a16="http://schemas.microsoft.com/office/drawing/2014/main" id="{00000000-0008-0000-0600-0000FB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276" name="Text Box 15">
            <a:extLst>
              <a:ext uri="{FF2B5EF4-FFF2-40B4-BE49-F238E27FC236}">
                <a16:creationId xmlns:a16="http://schemas.microsoft.com/office/drawing/2014/main" id="{00000000-0008-0000-0600-0000FC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277" name="Group 16">
            <a:extLst>
              <a:ext uri="{FF2B5EF4-FFF2-40B4-BE49-F238E27FC236}">
                <a16:creationId xmlns:a16="http://schemas.microsoft.com/office/drawing/2014/main" id="{00000000-0008-0000-0600-0000FD04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78" name="Text Box 17">
              <a:extLst>
                <a:ext uri="{FF2B5EF4-FFF2-40B4-BE49-F238E27FC236}">
                  <a16:creationId xmlns:a16="http://schemas.microsoft.com/office/drawing/2014/main" id="{00000000-0008-0000-0600-0000FE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279" name="Text Box 18">
              <a:extLst>
                <a:ext uri="{FF2B5EF4-FFF2-40B4-BE49-F238E27FC236}">
                  <a16:creationId xmlns:a16="http://schemas.microsoft.com/office/drawing/2014/main" id="{00000000-0008-0000-0600-0000FF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280" name="Group 61">
          <a:extLst>
            <a:ext uri="{FF2B5EF4-FFF2-40B4-BE49-F238E27FC236}">
              <a16:creationId xmlns:a16="http://schemas.microsoft.com/office/drawing/2014/main" id="{00000000-0008-0000-0600-000000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281" name="Text Box 62">
            <a:extLst>
              <a:ext uri="{FF2B5EF4-FFF2-40B4-BE49-F238E27FC236}">
                <a16:creationId xmlns:a16="http://schemas.microsoft.com/office/drawing/2014/main" id="{00000000-0008-0000-0600-000001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282" name="Text Box 63">
            <a:extLst>
              <a:ext uri="{FF2B5EF4-FFF2-40B4-BE49-F238E27FC236}">
                <a16:creationId xmlns:a16="http://schemas.microsoft.com/office/drawing/2014/main" id="{00000000-0008-0000-0600-000002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283" name="Group 64">
            <a:extLst>
              <a:ext uri="{FF2B5EF4-FFF2-40B4-BE49-F238E27FC236}">
                <a16:creationId xmlns:a16="http://schemas.microsoft.com/office/drawing/2014/main" id="{00000000-0008-0000-0600-000003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84" name="Text Box 65">
              <a:extLst>
                <a:ext uri="{FF2B5EF4-FFF2-40B4-BE49-F238E27FC236}">
                  <a16:creationId xmlns:a16="http://schemas.microsoft.com/office/drawing/2014/main" id="{00000000-0008-0000-0600-000004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285" name="Text Box 66">
              <a:extLst>
                <a:ext uri="{FF2B5EF4-FFF2-40B4-BE49-F238E27FC236}">
                  <a16:creationId xmlns:a16="http://schemas.microsoft.com/office/drawing/2014/main" id="{00000000-0008-0000-0600-000005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286" name="Group 67">
          <a:extLst>
            <a:ext uri="{FF2B5EF4-FFF2-40B4-BE49-F238E27FC236}">
              <a16:creationId xmlns:a16="http://schemas.microsoft.com/office/drawing/2014/main" id="{00000000-0008-0000-0600-000006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287" name="Text Box 68">
            <a:extLst>
              <a:ext uri="{FF2B5EF4-FFF2-40B4-BE49-F238E27FC236}">
                <a16:creationId xmlns:a16="http://schemas.microsoft.com/office/drawing/2014/main" id="{00000000-0008-0000-0600-000007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288" name="Text Box 69">
            <a:extLst>
              <a:ext uri="{FF2B5EF4-FFF2-40B4-BE49-F238E27FC236}">
                <a16:creationId xmlns:a16="http://schemas.microsoft.com/office/drawing/2014/main" id="{00000000-0008-0000-0600-000008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289" name="Group 70">
            <a:extLst>
              <a:ext uri="{FF2B5EF4-FFF2-40B4-BE49-F238E27FC236}">
                <a16:creationId xmlns:a16="http://schemas.microsoft.com/office/drawing/2014/main" id="{00000000-0008-0000-0600-000009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90" name="Text Box 71">
              <a:extLst>
                <a:ext uri="{FF2B5EF4-FFF2-40B4-BE49-F238E27FC236}">
                  <a16:creationId xmlns:a16="http://schemas.microsoft.com/office/drawing/2014/main" id="{00000000-0008-0000-0600-00000A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291" name="Text Box 72">
              <a:extLst>
                <a:ext uri="{FF2B5EF4-FFF2-40B4-BE49-F238E27FC236}">
                  <a16:creationId xmlns:a16="http://schemas.microsoft.com/office/drawing/2014/main" id="{00000000-0008-0000-0600-00000B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292" name="Group 73">
          <a:extLst>
            <a:ext uri="{FF2B5EF4-FFF2-40B4-BE49-F238E27FC236}">
              <a16:creationId xmlns:a16="http://schemas.microsoft.com/office/drawing/2014/main" id="{00000000-0008-0000-0600-00000C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293" name="Text Box 74">
            <a:extLst>
              <a:ext uri="{FF2B5EF4-FFF2-40B4-BE49-F238E27FC236}">
                <a16:creationId xmlns:a16="http://schemas.microsoft.com/office/drawing/2014/main" id="{00000000-0008-0000-0600-00000D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294" name="Text Box 75">
            <a:extLst>
              <a:ext uri="{FF2B5EF4-FFF2-40B4-BE49-F238E27FC236}">
                <a16:creationId xmlns:a16="http://schemas.microsoft.com/office/drawing/2014/main" id="{00000000-0008-0000-0600-00000E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295" name="Group 76">
            <a:extLst>
              <a:ext uri="{FF2B5EF4-FFF2-40B4-BE49-F238E27FC236}">
                <a16:creationId xmlns:a16="http://schemas.microsoft.com/office/drawing/2014/main" id="{00000000-0008-0000-0600-00000F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296" name="Text Box 77">
              <a:extLst>
                <a:ext uri="{FF2B5EF4-FFF2-40B4-BE49-F238E27FC236}">
                  <a16:creationId xmlns:a16="http://schemas.microsoft.com/office/drawing/2014/main" id="{00000000-0008-0000-0600-000010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297" name="Text Box 78">
              <a:extLst>
                <a:ext uri="{FF2B5EF4-FFF2-40B4-BE49-F238E27FC236}">
                  <a16:creationId xmlns:a16="http://schemas.microsoft.com/office/drawing/2014/main" id="{00000000-0008-0000-0600-000011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298" name="Group 79">
          <a:extLst>
            <a:ext uri="{FF2B5EF4-FFF2-40B4-BE49-F238E27FC236}">
              <a16:creationId xmlns:a16="http://schemas.microsoft.com/office/drawing/2014/main" id="{00000000-0008-0000-0600-000012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299" name="Text Box 80">
            <a:extLst>
              <a:ext uri="{FF2B5EF4-FFF2-40B4-BE49-F238E27FC236}">
                <a16:creationId xmlns:a16="http://schemas.microsoft.com/office/drawing/2014/main" id="{00000000-0008-0000-0600-000013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300" name="Text Box 81">
            <a:extLst>
              <a:ext uri="{FF2B5EF4-FFF2-40B4-BE49-F238E27FC236}">
                <a16:creationId xmlns:a16="http://schemas.microsoft.com/office/drawing/2014/main" id="{00000000-0008-0000-0600-000014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301" name="Group 82">
            <a:extLst>
              <a:ext uri="{FF2B5EF4-FFF2-40B4-BE49-F238E27FC236}">
                <a16:creationId xmlns:a16="http://schemas.microsoft.com/office/drawing/2014/main" id="{00000000-0008-0000-0600-000015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302" name="Text Box 83">
              <a:extLst>
                <a:ext uri="{FF2B5EF4-FFF2-40B4-BE49-F238E27FC236}">
                  <a16:creationId xmlns:a16="http://schemas.microsoft.com/office/drawing/2014/main" id="{00000000-0008-0000-0600-000016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03" name="Text Box 84">
              <a:extLst>
                <a:ext uri="{FF2B5EF4-FFF2-40B4-BE49-F238E27FC236}">
                  <a16:creationId xmlns:a16="http://schemas.microsoft.com/office/drawing/2014/main" id="{00000000-0008-0000-0600-000017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304" name="Group 85">
          <a:extLst>
            <a:ext uri="{FF2B5EF4-FFF2-40B4-BE49-F238E27FC236}">
              <a16:creationId xmlns:a16="http://schemas.microsoft.com/office/drawing/2014/main" id="{00000000-0008-0000-0600-000018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305" name="Text Box 86">
            <a:extLst>
              <a:ext uri="{FF2B5EF4-FFF2-40B4-BE49-F238E27FC236}">
                <a16:creationId xmlns:a16="http://schemas.microsoft.com/office/drawing/2014/main" id="{00000000-0008-0000-0600-000019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306" name="Text Box 87">
            <a:extLst>
              <a:ext uri="{FF2B5EF4-FFF2-40B4-BE49-F238E27FC236}">
                <a16:creationId xmlns:a16="http://schemas.microsoft.com/office/drawing/2014/main" id="{00000000-0008-0000-0600-00001A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307" name="Group 88">
            <a:extLst>
              <a:ext uri="{FF2B5EF4-FFF2-40B4-BE49-F238E27FC236}">
                <a16:creationId xmlns:a16="http://schemas.microsoft.com/office/drawing/2014/main" id="{00000000-0008-0000-0600-00001B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308" name="Text Box 89">
              <a:extLst>
                <a:ext uri="{FF2B5EF4-FFF2-40B4-BE49-F238E27FC236}">
                  <a16:creationId xmlns:a16="http://schemas.microsoft.com/office/drawing/2014/main" id="{00000000-0008-0000-0600-00001C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09" name="Text Box 90">
              <a:extLst>
                <a:ext uri="{FF2B5EF4-FFF2-40B4-BE49-F238E27FC236}">
                  <a16:creationId xmlns:a16="http://schemas.microsoft.com/office/drawing/2014/main" id="{00000000-0008-0000-0600-00001D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310" name="Group 91">
          <a:extLst>
            <a:ext uri="{FF2B5EF4-FFF2-40B4-BE49-F238E27FC236}">
              <a16:creationId xmlns:a16="http://schemas.microsoft.com/office/drawing/2014/main" id="{00000000-0008-0000-0600-00001E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311" name="Text Box 92">
            <a:extLst>
              <a:ext uri="{FF2B5EF4-FFF2-40B4-BE49-F238E27FC236}">
                <a16:creationId xmlns:a16="http://schemas.microsoft.com/office/drawing/2014/main" id="{00000000-0008-0000-0600-00001F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312" name="Text Box 93">
            <a:extLst>
              <a:ext uri="{FF2B5EF4-FFF2-40B4-BE49-F238E27FC236}">
                <a16:creationId xmlns:a16="http://schemas.microsoft.com/office/drawing/2014/main" id="{00000000-0008-0000-0600-000020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313" name="Group 94">
            <a:extLst>
              <a:ext uri="{FF2B5EF4-FFF2-40B4-BE49-F238E27FC236}">
                <a16:creationId xmlns:a16="http://schemas.microsoft.com/office/drawing/2014/main" id="{00000000-0008-0000-0600-000021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314" name="Text Box 95">
              <a:extLst>
                <a:ext uri="{FF2B5EF4-FFF2-40B4-BE49-F238E27FC236}">
                  <a16:creationId xmlns:a16="http://schemas.microsoft.com/office/drawing/2014/main" id="{00000000-0008-0000-0600-000022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15" name="Text Box 96">
              <a:extLst>
                <a:ext uri="{FF2B5EF4-FFF2-40B4-BE49-F238E27FC236}">
                  <a16:creationId xmlns:a16="http://schemas.microsoft.com/office/drawing/2014/main" id="{00000000-0008-0000-0600-000023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316" name="Group 61">
          <a:extLst>
            <a:ext uri="{FF2B5EF4-FFF2-40B4-BE49-F238E27FC236}">
              <a16:creationId xmlns:a16="http://schemas.microsoft.com/office/drawing/2014/main" id="{00000000-0008-0000-0600-000024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317" name="Text Box 62">
            <a:extLst>
              <a:ext uri="{FF2B5EF4-FFF2-40B4-BE49-F238E27FC236}">
                <a16:creationId xmlns:a16="http://schemas.microsoft.com/office/drawing/2014/main" id="{00000000-0008-0000-0600-000025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318" name="Text Box 63">
            <a:extLst>
              <a:ext uri="{FF2B5EF4-FFF2-40B4-BE49-F238E27FC236}">
                <a16:creationId xmlns:a16="http://schemas.microsoft.com/office/drawing/2014/main" id="{00000000-0008-0000-0600-000026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319" name="Group 64">
            <a:extLst>
              <a:ext uri="{FF2B5EF4-FFF2-40B4-BE49-F238E27FC236}">
                <a16:creationId xmlns:a16="http://schemas.microsoft.com/office/drawing/2014/main" id="{00000000-0008-0000-0600-000027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320" name="Text Box 65">
              <a:extLst>
                <a:ext uri="{FF2B5EF4-FFF2-40B4-BE49-F238E27FC236}">
                  <a16:creationId xmlns:a16="http://schemas.microsoft.com/office/drawing/2014/main" id="{00000000-0008-0000-0600-000028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21" name="Text Box 66">
              <a:extLst>
                <a:ext uri="{FF2B5EF4-FFF2-40B4-BE49-F238E27FC236}">
                  <a16:creationId xmlns:a16="http://schemas.microsoft.com/office/drawing/2014/main" id="{00000000-0008-0000-0600-000029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322" name="Group 67">
          <a:extLst>
            <a:ext uri="{FF2B5EF4-FFF2-40B4-BE49-F238E27FC236}">
              <a16:creationId xmlns:a16="http://schemas.microsoft.com/office/drawing/2014/main" id="{00000000-0008-0000-0600-00002A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323" name="Text Box 68">
            <a:extLst>
              <a:ext uri="{FF2B5EF4-FFF2-40B4-BE49-F238E27FC236}">
                <a16:creationId xmlns:a16="http://schemas.microsoft.com/office/drawing/2014/main" id="{00000000-0008-0000-0600-00002B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324" name="Text Box 69">
            <a:extLst>
              <a:ext uri="{FF2B5EF4-FFF2-40B4-BE49-F238E27FC236}">
                <a16:creationId xmlns:a16="http://schemas.microsoft.com/office/drawing/2014/main" id="{00000000-0008-0000-0600-00002C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325" name="Group 70">
            <a:extLst>
              <a:ext uri="{FF2B5EF4-FFF2-40B4-BE49-F238E27FC236}">
                <a16:creationId xmlns:a16="http://schemas.microsoft.com/office/drawing/2014/main" id="{00000000-0008-0000-0600-00002D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326" name="Text Box 71">
              <a:extLst>
                <a:ext uri="{FF2B5EF4-FFF2-40B4-BE49-F238E27FC236}">
                  <a16:creationId xmlns:a16="http://schemas.microsoft.com/office/drawing/2014/main" id="{00000000-0008-0000-0600-00002E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27" name="Text Box 72">
              <a:extLst>
                <a:ext uri="{FF2B5EF4-FFF2-40B4-BE49-F238E27FC236}">
                  <a16:creationId xmlns:a16="http://schemas.microsoft.com/office/drawing/2014/main" id="{00000000-0008-0000-0600-00002F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328" name="Group 73">
          <a:extLst>
            <a:ext uri="{FF2B5EF4-FFF2-40B4-BE49-F238E27FC236}">
              <a16:creationId xmlns:a16="http://schemas.microsoft.com/office/drawing/2014/main" id="{00000000-0008-0000-0600-000030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329" name="Text Box 74">
            <a:extLst>
              <a:ext uri="{FF2B5EF4-FFF2-40B4-BE49-F238E27FC236}">
                <a16:creationId xmlns:a16="http://schemas.microsoft.com/office/drawing/2014/main" id="{00000000-0008-0000-0600-000031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330" name="Text Box 75">
            <a:extLst>
              <a:ext uri="{FF2B5EF4-FFF2-40B4-BE49-F238E27FC236}">
                <a16:creationId xmlns:a16="http://schemas.microsoft.com/office/drawing/2014/main" id="{00000000-0008-0000-0600-000032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331" name="Group 76">
            <a:extLst>
              <a:ext uri="{FF2B5EF4-FFF2-40B4-BE49-F238E27FC236}">
                <a16:creationId xmlns:a16="http://schemas.microsoft.com/office/drawing/2014/main" id="{00000000-0008-0000-0600-000033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332" name="Text Box 77">
              <a:extLst>
                <a:ext uri="{FF2B5EF4-FFF2-40B4-BE49-F238E27FC236}">
                  <a16:creationId xmlns:a16="http://schemas.microsoft.com/office/drawing/2014/main" id="{00000000-0008-0000-0600-000034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33" name="Text Box 78">
              <a:extLst>
                <a:ext uri="{FF2B5EF4-FFF2-40B4-BE49-F238E27FC236}">
                  <a16:creationId xmlns:a16="http://schemas.microsoft.com/office/drawing/2014/main" id="{00000000-0008-0000-0600-000035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334" name="Group 79">
          <a:extLst>
            <a:ext uri="{FF2B5EF4-FFF2-40B4-BE49-F238E27FC236}">
              <a16:creationId xmlns:a16="http://schemas.microsoft.com/office/drawing/2014/main" id="{00000000-0008-0000-0600-000036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335" name="Text Box 80">
            <a:extLst>
              <a:ext uri="{FF2B5EF4-FFF2-40B4-BE49-F238E27FC236}">
                <a16:creationId xmlns:a16="http://schemas.microsoft.com/office/drawing/2014/main" id="{00000000-0008-0000-0600-000037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336" name="Text Box 81">
            <a:extLst>
              <a:ext uri="{FF2B5EF4-FFF2-40B4-BE49-F238E27FC236}">
                <a16:creationId xmlns:a16="http://schemas.microsoft.com/office/drawing/2014/main" id="{00000000-0008-0000-0600-000038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337" name="Group 82">
            <a:extLst>
              <a:ext uri="{FF2B5EF4-FFF2-40B4-BE49-F238E27FC236}">
                <a16:creationId xmlns:a16="http://schemas.microsoft.com/office/drawing/2014/main" id="{00000000-0008-0000-0600-000039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338" name="Text Box 83">
              <a:extLst>
                <a:ext uri="{FF2B5EF4-FFF2-40B4-BE49-F238E27FC236}">
                  <a16:creationId xmlns:a16="http://schemas.microsoft.com/office/drawing/2014/main" id="{00000000-0008-0000-0600-00003A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39" name="Text Box 84">
              <a:extLst>
                <a:ext uri="{FF2B5EF4-FFF2-40B4-BE49-F238E27FC236}">
                  <a16:creationId xmlns:a16="http://schemas.microsoft.com/office/drawing/2014/main" id="{00000000-0008-0000-0600-00003B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340" name="Group 85">
          <a:extLst>
            <a:ext uri="{FF2B5EF4-FFF2-40B4-BE49-F238E27FC236}">
              <a16:creationId xmlns:a16="http://schemas.microsoft.com/office/drawing/2014/main" id="{00000000-0008-0000-0600-00003C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341" name="Text Box 86">
            <a:extLst>
              <a:ext uri="{FF2B5EF4-FFF2-40B4-BE49-F238E27FC236}">
                <a16:creationId xmlns:a16="http://schemas.microsoft.com/office/drawing/2014/main" id="{00000000-0008-0000-0600-00003D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342" name="Text Box 87">
            <a:extLst>
              <a:ext uri="{FF2B5EF4-FFF2-40B4-BE49-F238E27FC236}">
                <a16:creationId xmlns:a16="http://schemas.microsoft.com/office/drawing/2014/main" id="{00000000-0008-0000-0600-00003E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343" name="Group 88">
            <a:extLst>
              <a:ext uri="{FF2B5EF4-FFF2-40B4-BE49-F238E27FC236}">
                <a16:creationId xmlns:a16="http://schemas.microsoft.com/office/drawing/2014/main" id="{00000000-0008-0000-0600-00003F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344" name="Text Box 89">
              <a:extLst>
                <a:ext uri="{FF2B5EF4-FFF2-40B4-BE49-F238E27FC236}">
                  <a16:creationId xmlns:a16="http://schemas.microsoft.com/office/drawing/2014/main" id="{00000000-0008-0000-0600-000040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45" name="Text Box 90">
              <a:extLst>
                <a:ext uri="{FF2B5EF4-FFF2-40B4-BE49-F238E27FC236}">
                  <a16:creationId xmlns:a16="http://schemas.microsoft.com/office/drawing/2014/main" id="{00000000-0008-0000-0600-000041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346" name="Group 91">
          <a:extLst>
            <a:ext uri="{FF2B5EF4-FFF2-40B4-BE49-F238E27FC236}">
              <a16:creationId xmlns:a16="http://schemas.microsoft.com/office/drawing/2014/main" id="{00000000-0008-0000-0600-000042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347" name="Text Box 92">
            <a:extLst>
              <a:ext uri="{FF2B5EF4-FFF2-40B4-BE49-F238E27FC236}">
                <a16:creationId xmlns:a16="http://schemas.microsoft.com/office/drawing/2014/main" id="{00000000-0008-0000-0600-000043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348" name="Text Box 93">
            <a:extLst>
              <a:ext uri="{FF2B5EF4-FFF2-40B4-BE49-F238E27FC236}">
                <a16:creationId xmlns:a16="http://schemas.microsoft.com/office/drawing/2014/main" id="{00000000-0008-0000-0600-000044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349" name="Group 94">
            <a:extLst>
              <a:ext uri="{FF2B5EF4-FFF2-40B4-BE49-F238E27FC236}">
                <a16:creationId xmlns:a16="http://schemas.microsoft.com/office/drawing/2014/main" id="{00000000-0008-0000-0600-000045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350" name="Text Box 95">
              <a:extLst>
                <a:ext uri="{FF2B5EF4-FFF2-40B4-BE49-F238E27FC236}">
                  <a16:creationId xmlns:a16="http://schemas.microsoft.com/office/drawing/2014/main" id="{00000000-0008-0000-0600-000046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51" name="Text Box 96">
              <a:extLst>
                <a:ext uri="{FF2B5EF4-FFF2-40B4-BE49-F238E27FC236}">
                  <a16:creationId xmlns:a16="http://schemas.microsoft.com/office/drawing/2014/main" id="{00000000-0008-0000-0600-000047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352" name="Group 1">
          <a:extLst>
            <a:ext uri="{FF2B5EF4-FFF2-40B4-BE49-F238E27FC236}">
              <a16:creationId xmlns:a16="http://schemas.microsoft.com/office/drawing/2014/main" id="{00000000-0008-0000-0600-00004805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1353" name="Text Box 2">
            <a:extLst>
              <a:ext uri="{FF2B5EF4-FFF2-40B4-BE49-F238E27FC236}">
                <a16:creationId xmlns:a16="http://schemas.microsoft.com/office/drawing/2014/main" id="{00000000-0008-0000-0600-000049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354" name="Text Box 3">
            <a:extLst>
              <a:ext uri="{FF2B5EF4-FFF2-40B4-BE49-F238E27FC236}">
                <a16:creationId xmlns:a16="http://schemas.microsoft.com/office/drawing/2014/main" id="{00000000-0008-0000-0600-00004A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355" name="Group 4">
            <a:extLst>
              <a:ext uri="{FF2B5EF4-FFF2-40B4-BE49-F238E27FC236}">
                <a16:creationId xmlns:a16="http://schemas.microsoft.com/office/drawing/2014/main" id="{00000000-0008-0000-0600-00004B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356" name="Text Box 5">
              <a:extLst>
                <a:ext uri="{FF2B5EF4-FFF2-40B4-BE49-F238E27FC236}">
                  <a16:creationId xmlns:a16="http://schemas.microsoft.com/office/drawing/2014/main" id="{00000000-0008-0000-0600-00004C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57" name="Text Box 6">
              <a:extLst>
                <a:ext uri="{FF2B5EF4-FFF2-40B4-BE49-F238E27FC236}">
                  <a16:creationId xmlns:a16="http://schemas.microsoft.com/office/drawing/2014/main" id="{00000000-0008-0000-0600-00004D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358" name="Group 7">
          <a:extLst>
            <a:ext uri="{FF2B5EF4-FFF2-40B4-BE49-F238E27FC236}">
              <a16:creationId xmlns:a16="http://schemas.microsoft.com/office/drawing/2014/main" id="{00000000-0008-0000-0600-00004E05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1359" name="Text Box 8">
            <a:extLst>
              <a:ext uri="{FF2B5EF4-FFF2-40B4-BE49-F238E27FC236}">
                <a16:creationId xmlns:a16="http://schemas.microsoft.com/office/drawing/2014/main" id="{00000000-0008-0000-0600-00004F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360" name="Text Box 9">
            <a:extLst>
              <a:ext uri="{FF2B5EF4-FFF2-40B4-BE49-F238E27FC236}">
                <a16:creationId xmlns:a16="http://schemas.microsoft.com/office/drawing/2014/main" id="{00000000-0008-0000-0600-000050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361" name="Group 10">
            <a:extLst>
              <a:ext uri="{FF2B5EF4-FFF2-40B4-BE49-F238E27FC236}">
                <a16:creationId xmlns:a16="http://schemas.microsoft.com/office/drawing/2014/main" id="{00000000-0008-0000-0600-000051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362" name="Text Box 11">
              <a:extLst>
                <a:ext uri="{FF2B5EF4-FFF2-40B4-BE49-F238E27FC236}">
                  <a16:creationId xmlns:a16="http://schemas.microsoft.com/office/drawing/2014/main" id="{00000000-0008-0000-0600-000052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63" name="Text Box 12">
              <a:extLst>
                <a:ext uri="{FF2B5EF4-FFF2-40B4-BE49-F238E27FC236}">
                  <a16:creationId xmlns:a16="http://schemas.microsoft.com/office/drawing/2014/main" id="{00000000-0008-0000-0600-000053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11</xdr:col>
      <xdr:colOff>0</xdr:colOff>
      <xdr:row>4</xdr:row>
      <xdr:rowOff>0</xdr:rowOff>
    </xdr:to>
    <xdr:grpSp>
      <xdr:nvGrpSpPr>
        <xdr:cNvPr id="1364" name="Group 13">
          <a:extLst>
            <a:ext uri="{FF2B5EF4-FFF2-40B4-BE49-F238E27FC236}">
              <a16:creationId xmlns:a16="http://schemas.microsoft.com/office/drawing/2014/main" id="{00000000-0008-0000-0600-000054050000}"/>
            </a:ext>
          </a:extLst>
        </xdr:cNvPr>
        <xdr:cNvGrpSpPr>
          <a:grpSpLocks/>
        </xdr:cNvGrpSpPr>
      </xdr:nvGrpSpPr>
      <xdr:grpSpPr bwMode="auto">
        <a:xfrm>
          <a:off x="4286250" y="1104900"/>
          <a:ext cx="6734175" cy="0"/>
          <a:chOff x="370" y="1725"/>
          <a:chExt cx="611" cy="37"/>
        </a:xfrm>
      </xdr:grpSpPr>
      <xdr:sp macro="" textlink="">
        <xdr:nvSpPr>
          <xdr:cNvPr id="1365" name="Text Box 14">
            <a:extLst>
              <a:ext uri="{FF2B5EF4-FFF2-40B4-BE49-F238E27FC236}">
                <a16:creationId xmlns:a16="http://schemas.microsoft.com/office/drawing/2014/main" id="{00000000-0008-0000-0600-000055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366" name="Text Box 15">
            <a:extLst>
              <a:ext uri="{FF2B5EF4-FFF2-40B4-BE49-F238E27FC236}">
                <a16:creationId xmlns:a16="http://schemas.microsoft.com/office/drawing/2014/main" id="{00000000-0008-0000-0600-000056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367" name="Group 16">
            <a:extLst>
              <a:ext uri="{FF2B5EF4-FFF2-40B4-BE49-F238E27FC236}">
                <a16:creationId xmlns:a16="http://schemas.microsoft.com/office/drawing/2014/main" id="{00000000-0008-0000-0600-000057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368" name="Text Box 17">
              <a:extLst>
                <a:ext uri="{FF2B5EF4-FFF2-40B4-BE49-F238E27FC236}">
                  <a16:creationId xmlns:a16="http://schemas.microsoft.com/office/drawing/2014/main" id="{00000000-0008-0000-0600-000058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69" name="Text Box 18">
              <a:extLst>
                <a:ext uri="{FF2B5EF4-FFF2-40B4-BE49-F238E27FC236}">
                  <a16:creationId xmlns:a16="http://schemas.microsoft.com/office/drawing/2014/main" id="{00000000-0008-0000-0600-000059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370" name="Group 61">
          <a:extLst>
            <a:ext uri="{FF2B5EF4-FFF2-40B4-BE49-F238E27FC236}">
              <a16:creationId xmlns:a16="http://schemas.microsoft.com/office/drawing/2014/main" id="{00000000-0008-0000-0600-00005A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371" name="Text Box 62">
            <a:extLst>
              <a:ext uri="{FF2B5EF4-FFF2-40B4-BE49-F238E27FC236}">
                <a16:creationId xmlns:a16="http://schemas.microsoft.com/office/drawing/2014/main" id="{00000000-0008-0000-0600-00005B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372" name="Text Box 63">
            <a:extLst>
              <a:ext uri="{FF2B5EF4-FFF2-40B4-BE49-F238E27FC236}">
                <a16:creationId xmlns:a16="http://schemas.microsoft.com/office/drawing/2014/main" id="{00000000-0008-0000-0600-00005C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373" name="Group 64">
            <a:extLst>
              <a:ext uri="{FF2B5EF4-FFF2-40B4-BE49-F238E27FC236}">
                <a16:creationId xmlns:a16="http://schemas.microsoft.com/office/drawing/2014/main" id="{00000000-0008-0000-0600-00005D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374" name="Text Box 65">
              <a:extLst>
                <a:ext uri="{FF2B5EF4-FFF2-40B4-BE49-F238E27FC236}">
                  <a16:creationId xmlns:a16="http://schemas.microsoft.com/office/drawing/2014/main" id="{00000000-0008-0000-0600-00005E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75" name="Text Box 66">
              <a:extLst>
                <a:ext uri="{FF2B5EF4-FFF2-40B4-BE49-F238E27FC236}">
                  <a16:creationId xmlns:a16="http://schemas.microsoft.com/office/drawing/2014/main" id="{00000000-0008-0000-0600-00005F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376" name="Group 67">
          <a:extLst>
            <a:ext uri="{FF2B5EF4-FFF2-40B4-BE49-F238E27FC236}">
              <a16:creationId xmlns:a16="http://schemas.microsoft.com/office/drawing/2014/main" id="{00000000-0008-0000-0600-000060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377" name="Text Box 68">
            <a:extLst>
              <a:ext uri="{FF2B5EF4-FFF2-40B4-BE49-F238E27FC236}">
                <a16:creationId xmlns:a16="http://schemas.microsoft.com/office/drawing/2014/main" id="{00000000-0008-0000-0600-000061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378" name="Text Box 69">
            <a:extLst>
              <a:ext uri="{FF2B5EF4-FFF2-40B4-BE49-F238E27FC236}">
                <a16:creationId xmlns:a16="http://schemas.microsoft.com/office/drawing/2014/main" id="{00000000-0008-0000-0600-000062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379" name="Group 70">
            <a:extLst>
              <a:ext uri="{FF2B5EF4-FFF2-40B4-BE49-F238E27FC236}">
                <a16:creationId xmlns:a16="http://schemas.microsoft.com/office/drawing/2014/main" id="{00000000-0008-0000-0600-000063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380" name="Text Box 71">
              <a:extLst>
                <a:ext uri="{FF2B5EF4-FFF2-40B4-BE49-F238E27FC236}">
                  <a16:creationId xmlns:a16="http://schemas.microsoft.com/office/drawing/2014/main" id="{00000000-0008-0000-0600-000064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81" name="Text Box 72">
              <a:extLst>
                <a:ext uri="{FF2B5EF4-FFF2-40B4-BE49-F238E27FC236}">
                  <a16:creationId xmlns:a16="http://schemas.microsoft.com/office/drawing/2014/main" id="{00000000-0008-0000-0600-000065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382" name="Group 73">
          <a:extLst>
            <a:ext uri="{FF2B5EF4-FFF2-40B4-BE49-F238E27FC236}">
              <a16:creationId xmlns:a16="http://schemas.microsoft.com/office/drawing/2014/main" id="{00000000-0008-0000-0600-000066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383" name="Text Box 74">
            <a:extLst>
              <a:ext uri="{FF2B5EF4-FFF2-40B4-BE49-F238E27FC236}">
                <a16:creationId xmlns:a16="http://schemas.microsoft.com/office/drawing/2014/main" id="{00000000-0008-0000-0600-000067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384" name="Text Box 75">
            <a:extLst>
              <a:ext uri="{FF2B5EF4-FFF2-40B4-BE49-F238E27FC236}">
                <a16:creationId xmlns:a16="http://schemas.microsoft.com/office/drawing/2014/main" id="{00000000-0008-0000-0600-000068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385" name="Group 76">
            <a:extLst>
              <a:ext uri="{FF2B5EF4-FFF2-40B4-BE49-F238E27FC236}">
                <a16:creationId xmlns:a16="http://schemas.microsoft.com/office/drawing/2014/main" id="{00000000-0008-0000-0600-000069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386" name="Text Box 77">
              <a:extLst>
                <a:ext uri="{FF2B5EF4-FFF2-40B4-BE49-F238E27FC236}">
                  <a16:creationId xmlns:a16="http://schemas.microsoft.com/office/drawing/2014/main" id="{00000000-0008-0000-0600-00006A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87" name="Text Box 78">
              <a:extLst>
                <a:ext uri="{FF2B5EF4-FFF2-40B4-BE49-F238E27FC236}">
                  <a16:creationId xmlns:a16="http://schemas.microsoft.com/office/drawing/2014/main" id="{00000000-0008-0000-0600-00006B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388" name="Group 79">
          <a:extLst>
            <a:ext uri="{FF2B5EF4-FFF2-40B4-BE49-F238E27FC236}">
              <a16:creationId xmlns:a16="http://schemas.microsoft.com/office/drawing/2014/main" id="{00000000-0008-0000-0600-00006C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389" name="Text Box 80">
            <a:extLst>
              <a:ext uri="{FF2B5EF4-FFF2-40B4-BE49-F238E27FC236}">
                <a16:creationId xmlns:a16="http://schemas.microsoft.com/office/drawing/2014/main" id="{00000000-0008-0000-0600-00006D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390" name="Text Box 81">
            <a:extLst>
              <a:ext uri="{FF2B5EF4-FFF2-40B4-BE49-F238E27FC236}">
                <a16:creationId xmlns:a16="http://schemas.microsoft.com/office/drawing/2014/main" id="{00000000-0008-0000-0600-00006E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391" name="Group 82">
            <a:extLst>
              <a:ext uri="{FF2B5EF4-FFF2-40B4-BE49-F238E27FC236}">
                <a16:creationId xmlns:a16="http://schemas.microsoft.com/office/drawing/2014/main" id="{00000000-0008-0000-0600-00006F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392" name="Text Box 83">
              <a:extLst>
                <a:ext uri="{FF2B5EF4-FFF2-40B4-BE49-F238E27FC236}">
                  <a16:creationId xmlns:a16="http://schemas.microsoft.com/office/drawing/2014/main" id="{00000000-0008-0000-0600-000070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93" name="Text Box 84">
              <a:extLst>
                <a:ext uri="{FF2B5EF4-FFF2-40B4-BE49-F238E27FC236}">
                  <a16:creationId xmlns:a16="http://schemas.microsoft.com/office/drawing/2014/main" id="{00000000-0008-0000-0600-000071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394" name="Group 85">
          <a:extLst>
            <a:ext uri="{FF2B5EF4-FFF2-40B4-BE49-F238E27FC236}">
              <a16:creationId xmlns:a16="http://schemas.microsoft.com/office/drawing/2014/main" id="{00000000-0008-0000-0600-000072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395" name="Text Box 86">
            <a:extLst>
              <a:ext uri="{FF2B5EF4-FFF2-40B4-BE49-F238E27FC236}">
                <a16:creationId xmlns:a16="http://schemas.microsoft.com/office/drawing/2014/main" id="{00000000-0008-0000-0600-000073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396" name="Text Box 87">
            <a:extLst>
              <a:ext uri="{FF2B5EF4-FFF2-40B4-BE49-F238E27FC236}">
                <a16:creationId xmlns:a16="http://schemas.microsoft.com/office/drawing/2014/main" id="{00000000-0008-0000-0600-000074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397" name="Group 88">
            <a:extLst>
              <a:ext uri="{FF2B5EF4-FFF2-40B4-BE49-F238E27FC236}">
                <a16:creationId xmlns:a16="http://schemas.microsoft.com/office/drawing/2014/main" id="{00000000-0008-0000-0600-000075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398" name="Text Box 89">
              <a:extLst>
                <a:ext uri="{FF2B5EF4-FFF2-40B4-BE49-F238E27FC236}">
                  <a16:creationId xmlns:a16="http://schemas.microsoft.com/office/drawing/2014/main" id="{00000000-0008-0000-0600-000076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399" name="Text Box 90">
              <a:extLst>
                <a:ext uri="{FF2B5EF4-FFF2-40B4-BE49-F238E27FC236}">
                  <a16:creationId xmlns:a16="http://schemas.microsoft.com/office/drawing/2014/main" id="{00000000-0008-0000-0600-000077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400" name="Group 91">
          <a:extLst>
            <a:ext uri="{FF2B5EF4-FFF2-40B4-BE49-F238E27FC236}">
              <a16:creationId xmlns:a16="http://schemas.microsoft.com/office/drawing/2014/main" id="{00000000-0008-0000-0600-000078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401" name="Text Box 92">
            <a:extLst>
              <a:ext uri="{FF2B5EF4-FFF2-40B4-BE49-F238E27FC236}">
                <a16:creationId xmlns:a16="http://schemas.microsoft.com/office/drawing/2014/main" id="{00000000-0008-0000-0600-000079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402" name="Text Box 93">
            <a:extLst>
              <a:ext uri="{FF2B5EF4-FFF2-40B4-BE49-F238E27FC236}">
                <a16:creationId xmlns:a16="http://schemas.microsoft.com/office/drawing/2014/main" id="{00000000-0008-0000-0600-00007A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403" name="Group 94">
            <a:extLst>
              <a:ext uri="{FF2B5EF4-FFF2-40B4-BE49-F238E27FC236}">
                <a16:creationId xmlns:a16="http://schemas.microsoft.com/office/drawing/2014/main" id="{00000000-0008-0000-0600-00007B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404" name="Text Box 95">
              <a:extLst>
                <a:ext uri="{FF2B5EF4-FFF2-40B4-BE49-F238E27FC236}">
                  <a16:creationId xmlns:a16="http://schemas.microsoft.com/office/drawing/2014/main" id="{00000000-0008-0000-0600-00007C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405" name="Text Box 96">
              <a:extLst>
                <a:ext uri="{FF2B5EF4-FFF2-40B4-BE49-F238E27FC236}">
                  <a16:creationId xmlns:a16="http://schemas.microsoft.com/office/drawing/2014/main" id="{00000000-0008-0000-0600-00007D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406" name="Group 61">
          <a:extLst>
            <a:ext uri="{FF2B5EF4-FFF2-40B4-BE49-F238E27FC236}">
              <a16:creationId xmlns:a16="http://schemas.microsoft.com/office/drawing/2014/main" id="{00000000-0008-0000-0600-00007E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407" name="Text Box 62">
            <a:extLst>
              <a:ext uri="{FF2B5EF4-FFF2-40B4-BE49-F238E27FC236}">
                <a16:creationId xmlns:a16="http://schemas.microsoft.com/office/drawing/2014/main" id="{00000000-0008-0000-0600-00007F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408" name="Text Box 63">
            <a:extLst>
              <a:ext uri="{FF2B5EF4-FFF2-40B4-BE49-F238E27FC236}">
                <a16:creationId xmlns:a16="http://schemas.microsoft.com/office/drawing/2014/main" id="{00000000-0008-0000-0600-000080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409" name="Group 64">
            <a:extLst>
              <a:ext uri="{FF2B5EF4-FFF2-40B4-BE49-F238E27FC236}">
                <a16:creationId xmlns:a16="http://schemas.microsoft.com/office/drawing/2014/main" id="{00000000-0008-0000-0600-000081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410" name="Text Box 65">
              <a:extLst>
                <a:ext uri="{FF2B5EF4-FFF2-40B4-BE49-F238E27FC236}">
                  <a16:creationId xmlns:a16="http://schemas.microsoft.com/office/drawing/2014/main" id="{00000000-0008-0000-0600-000082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411" name="Text Box 66">
              <a:extLst>
                <a:ext uri="{FF2B5EF4-FFF2-40B4-BE49-F238E27FC236}">
                  <a16:creationId xmlns:a16="http://schemas.microsoft.com/office/drawing/2014/main" id="{00000000-0008-0000-0600-000083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412" name="Group 67">
          <a:extLst>
            <a:ext uri="{FF2B5EF4-FFF2-40B4-BE49-F238E27FC236}">
              <a16:creationId xmlns:a16="http://schemas.microsoft.com/office/drawing/2014/main" id="{00000000-0008-0000-0600-000084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413" name="Text Box 68">
            <a:extLst>
              <a:ext uri="{FF2B5EF4-FFF2-40B4-BE49-F238E27FC236}">
                <a16:creationId xmlns:a16="http://schemas.microsoft.com/office/drawing/2014/main" id="{00000000-0008-0000-0600-000085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414" name="Text Box 69">
            <a:extLst>
              <a:ext uri="{FF2B5EF4-FFF2-40B4-BE49-F238E27FC236}">
                <a16:creationId xmlns:a16="http://schemas.microsoft.com/office/drawing/2014/main" id="{00000000-0008-0000-0600-000086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415" name="Group 70">
            <a:extLst>
              <a:ext uri="{FF2B5EF4-FFF2-40B4-BE49-F238E27FC236}">
                <a16:creationId xmlns:a16="http://schemas.microsoft.com/office/drawing/2014/main" id="{00000000-0008-0000-0600-000087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416" name="Text Box 71">
              <a:extLst>
                <a:ext uri="{FF2B5EF4-FFF2-40B4-BE49-F238E27FC236}">
                  <a16:creationId xmlns:a16="http://schemas.microsoft.com/office/drawing/2014/main" id="{00000000-0008-0000-0600-000088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417" name="Text Box 72">
              <a:extLst>
                <a:ext uri="{FF2B5EF4-FFF2-40B4-BE49-F238E27FC236}">
                  <a16:creationId xmlns:a16="http://schemas.microsoft.com/office/drawing/2014/main" id="{00000000-0008-0000-0600-000089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418" name="Group 73">
          <a:extLst>
            <a:ext uri="{FF2B5EF4-FFF2-40B4-BE49-F238E27FC236}">
              <a16:creationId xmlns:a16="http://schemas.microsoft.com/office/drawing/2014/main" id="{00000000-0008-0000-0600-00008A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419" name="Text Box 74">
            <a:extLst>
              <a:ext uri="{FF2B5EF4-FFF2-40B4-BE49-F238E27FC236}">
                <a16:creationId xmlns:a16="http://schemas.microsoft.com/office/drawing/2014/main" id="{00000000-0008-0000-0600-00008B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420" name="Text Box 75">
            <a:extLst>
              <a:ext uri="{FF2B5EF4-FFF2-40B4-BE49-F238E27FC236}">
                <a16:creationId xmlns:a16="http://schemas.microsoft.com/office/drawing/2014/main" id="{00000000-0008-0000-0600-00008C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421" name="Group 76">
            <a:extLst>
              <a:ext uri="{FF2B5EF4-FFF2-40B4-BE49-F238E27FC236}">
                <a16:creationId xmlns:a16="http://schemas.microsoft.com/office/drawing/2014/main" id="{00000000-0008-0000-0600-00008D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422" name="Text Box 77">
              <a:extLst>
                <a:ext uri="{FF2B5EF4-FFF2-40B4-BE49-F238E27FC236}">
                  <a16:creationId xmlns:a16="http://schemas.microsoft.com/office/drawing/2014/main" id="{00000000-0008-0000-0600-00008E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423" name="Text Box 78">
              <a:extLst>
                <a:ext uri="{FF2B5EF4-FFF2-40B4-BE49-F238E27FC236}">
                  <a16:creationId xmlns:a16="http://schemas.microsoft.com/office/drawing/2014/main" id="{00000000-0008-0000-0600-00008F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0</xdr:colOff>
      <xdr:row>3</xdr:row>
      <xdr:rowOff>0</xdr:rowOff>
    </xdr:to>
    <xdr:grpSp>
      <xdr:nvGrpSpPr>
        <xdr:cNvPr id="1424" name="Group 79">
          <a:extLst>
            <a:ext uri="{FF2B5EF4-FFF2-40B4-BE49-F238E27FC236}">
              <a16:creationId xmlns:a16="http://schemas.microsoft.com/office/drawing/2014/main" id="{00000000-0008-0000-0600-000090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9563100" cy="0"/>
          <a:chOff x="370" y="1725"/>
          <a:chExt cx="611" cy="37"/>
        </a:xfrm>
      </xdr:grpSpPr>
      <xdr:sp macro="" textlink="">
        <xdr:nvSpPr>
          <xdr:cNvPr id="1425" name="Text Box 80">
            <a:extLst>
              <a:ext uri="{FF2B5EF4-FFF2-40B4-BE49-F238E27FC236}">
                <a16:creationId xmlns:a16="http://schemas.microsoft.com/office/drawing/2014/main" id="{00000000-0008-0000-0600-000091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426" name="Text Box 81">
            <a:extLst>
              <a:ext uri="{FF2B5EF4-FFF2-40B4-BE49-F238E27FC236}">
                <a16:creationId xmlns:a16="http://schemas.microsoft.com/office/drawing/2014/main" id="{00000000-0008-0000-0600-000092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427" name="Group 82">
            <a:extLst>
              <a:ext uri="{FF2B5EF4-FFF2-40B4-BE49-F238E27FC236}">
                <a16:creationId xmlns:a16="http://schemas.microsoft.com/office/drawing/2014/main" id="{00000000-0008-0000-0600-000093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428" name="Text Box 83">
              <a:extLst>
                <a:ext uri="{FF2B5EF4-FFF2-40B4-BE49-F238E27FC236}">
                  <a16:creationId xmlns:a16="http://schemas.microsoft.com/office/drawing/2014/main" id="{00000000-0008-0000-0600-000094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429" name="Text Box 84">
              <a:extLst>
                <a:ext uri="{FF2B5EF4-FFF2-40B4-BE49-F238E27FC236}">
                  <a16:creationId xmlns:a16="http://schemas.microsoft.com/office/drawing/2014/main" id="{00000000-0008-0000-0600-000095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430" name="Group 85">
          <a:extLst>
            <a:ext uri="{FF2B5EF4-FFF2-40B4-BE49-F238E27FC236}">
              <a16:creationId xmlns:a16="http://schemas.microsoft.com/office/drawing/2014/main" id="{00000000-0008-0000-0600-000096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431" name="Text Box 86">
            <a:extLst>
              <a:ext uri="{FF2B5EF4-FFF2-40B4-BE49-F238E27FC236}">
                <a16:creationId xmlns:a16="http://schemas.microsoft.com/office/drawing/2014/main" id="{00000000-0008-0000-0600-000097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432" name="Text Box 87">
            <a:extLst>
              <a:ext uri="{FF2B5EF4-FFF2-40B4-BE49-F238E27FC236}">
                <a16:creationId xmlns:a16="http://schemas.microsoft.com/office/drawing/2014/main" id="{00000000-0008-0000-0600-000098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433" name="Group 88">
            <a:extLst>
              <a:ext uri="{FF2B5EF4-FFF2-40B4-BE49-F238E27FC236}">
                <a16:creationId xmlns:a16="http://schemas.microsoft.com/office/drawing/2014/main" id="{00000000-0008-0000-0600-000099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434" name="Text Box 89">
              <a:extLst>
                <a:ext uri="{FF2B5EF4-FFF2-40B4-BE49-F238E27FC236}">
                  <a16:creationId xmlns:a16="http://schemas.microsoft.com/office/drawing/2014/main" id="{00000000-0008-0000-0600-00009A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435" name="Text Box 90">
              <a:extLst>
                <a:ext uri="{FF2B5EF4-FFF2-40B4-BE49-F238E27FC236}">
                  <a16:creationId xmlns:a16="http://schemas.microsoft.com/office/drawing/2014/main" id="{00000000-0008-0000-0600-00009B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  <xdr:twoCellAnchor>
    <xdr:from>
      <xdr:col>2</xdr:col>
      <xdr:colOff>0</xdr:colOff>
      <xdr:row>3</xdr:row>
      <xdr:rowOff>0</xdr:rowOff>
    </xdr:from>
    <xdr:to>
      <xdr:col>12</xdr:col>
      <xdr:colOff>0</xdr:colOff>
      <xdr:row>3</xdr:row>
      <xdr:rowOff>0</xdr:rowOff>
    </xdr:to>
    <xdr:grpSp>
      <xdr:nvGrpSpPr>
        <xdr:cNvPr id="1436" name="Group 91">
          <a:extLst>
            <a:ext uri="{FF2B5EF4-FFF2-40B4-BE49-F238E27FC236}">
              <a16:creationId xmlns:a16="http://schemas.microsoft.com/office/drawing/2014/main" id="{00000000-0008-0000-0600-00009C050000}"/>
            </a:ext>
          </a:extLst>
        </xdr:cNvPr>
        <xdr:cNvGrpSpPr>
          <a:grpSpLocks/>
        </xdr:cNvGrpSpPr>
      </xdr:nvGrpSpPr>
      <xdr:grpSpPr bwMode="auto">
        <a:xfrm>
          <a:off x="4286250" y="857250"/>
          <a:ext cx="7524750" cy="0"/>
          <a:chOff x="370" y="1725"/>
          <a:chExt cx="611" cy="37"/>
        </a:xfrm>
      </xdr:grpSpPr>
      <xdr:sp macro="" textlink="">
        <xdr:nvSpPr>
          <xdr:cNvPr id="1437" name="Text Box 92">
            <a:extLst>
              <a:ext uri="{FF2B5EF4-FFF2-40B4-BE49-F238E27FC236}">
                <a16:creationId xmlns:a16="http://schemas.microsoft.com/office/drawing/2014/main" id="{00000000-0008-0000-0600-00009D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727"/>
            <a:ext cx="46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0</a:t>
            </a:r>
          </a:p>
        </xdr:txBody>
      </xdr:sp>
      <xdr:sp macro="" textlink="">
        <xdr:nvSpPr>
          <xdr:cNvPr id="1438" name="Text Box 93">
            <a:extLst>
              <a:ext uri="{FF2B5EF4-FFF2-40B4-BE49-F238E27FC236}">
                <a16:creationId xmlns:a16="http://schemas.microsoft.com/office/drawing/2014/main" id="{00000000-0008-0000-0600-00009E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4" y="1726"/>
            <a:ext cx="22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36576" rIns="27432" bIns="0" anchor="t" upright="1"/>
          <a:lstStyle/>
          <a:p>
            <a:pPr algn="ctr" rtl="0">
              <a:defRPr sz="1000"/>
            </a:pPr>
            <a:r>
              <a:rPr lang="th-TH" sz="1400" b="0" i="0" strike="noStrike">
                <a:solidFill>
                  <a:srgbClr val="000000"/>
                </a:solidFill>
                <a:latin typeface="Browallia New"/>
                <a:cs typeface="Browallia New"/>
              </a:rPr>
              <a:t>ดำเนินการในระยะที่ 2</a:t>
            </a:r>
          </a:p>
        </xdr:txBody>
      </xdr:sp>
      <xdr:grpSp>
        <xdr:nvGrpSpPr>
          <xdr:cNvPr id="1439" name="Group 94">
            <a:extLst>
              <a:ext uri="{FF2B5EF4-FFF2-40B4-BE49-F238E27FC236}">
                <a16:creationId xmlns:a16="http://schemas.microsoft.com/office/drawing/2014/main" id="{00000000-0008-0000-0600-00009F050000}"/>
              </a:ext>
            </a:extLst>
          </xdr:cNvPr>
          <xdr:cNvGrpSpPr>
            <a:grpSpLocks/>
          </xdr:cNvGrpSpPr>
        </xdr:nvGrpSpPr>
        <xdr:grpSpPr bwMode="auto">
          <a:xfrm>
            <a:off x="875" y="1725"/>
            <a:ext cx="106" cy="37"/>
            <a:chOff x="875" y="1725"/>
            <a:chExt cx="106" cy="37"/>
          </a:xfrm>
        </xdr:grpSpPr>
        <xdr:sp macro="" textlink="">
          <xdr:nvSpPr>
            <xdr:cNvPr id="1440" name="Text Box 95">
              <a:extLst>
                <a:ext uri="{FF2B5EF4-FFF2-40B4-BE49-F238E27FC236}">
                  <a16:creationId xmlns:a16="http://schemas.microsoft.com/office/drawing/2014/main" id="{00000000-0008-0000-0600-0000A0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5" y="1737"/>
              <a:ext cx="105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ดำเนินการในระยะที่ 2</a:t>
              </a:r>
            </a:p>
          </xdr:txBody>
        </xdr:sp>
        <xdr:sp macro="" textlink="">
          <xdr:nvSpPr>
            <xdr:cNvPr id="1441" name="Text Box 96">
              <a:extLst>
                <a:ext uri="{FF2B5EF4-FFF2-40B4-BE49-F238E27FC236}">
                  <a16:creationId xmlns:a16="http://schemas.microsoft.com/office/drawing/2014/main" id="{00000000-0008-0000-0600-0000A10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6" y="1725"/>
              <a:ext cx="105" cy="2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36576" rIns="0" bIns="0" anchor="t" upright="1"/>
            <a:lstStyle/>
            <a:p>
              <a:pPr algn="l" rtl="0">
                <a:defRPr sz="1000"/>
              </a:pPr>
              <a:r>
                <a:rPr lang="th-TH" sz="1100" b="0" i="0" strike="noStrike">
                  <a:solidFill>
                    <a:srgbClr val="000000"/>
                  </a:solidFill>
                  <a:latin typeface="Browallia New"/>
                  <a:cs typeface="Browallia New"/>
                </a:rPr>
                <a:t>จำนวน 1 ชุด</a:t>
              </a:r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aya2\d_salaya2\WINDOWS\TEMP\Cost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สรุป"/>
      <sheetName val="ศูนย์การแพทย์"/>
      <sheetName val="หอพักผู้ป่วย"/>
      <sheetName val="อาคารบริการ"/>
      <sheetName val="สรศป"/>
      <sheetName val="Cost2"/>
      <sheetName val="FR"/>
      <sheetName val="Sheet1"/>
      <sheetName val="วัดใต้"/>
      <sheetName val="산근"/>
      <sheetName val="#REF"/>
      <sheetName val="封面 "/>
      <sheetName val="粉刷"/>
      <sheetName val="裝修"/>
      <sheetName val="風管工程"/>
      <sheetName val="合約價"/>
      <sheetName val="ราคาต่อหน่วย2-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0"/>
  <sheetViews>
    <sheetView showGridLines="0" showZeros="0" view="pageBreakPreview" zoomScaleNormal="120" zoomScaleSheetLayoutView="100" workbookViewId="0">
      <selection activeCell="O12" sqref="O12:Q12"/>
    </sheetView>
  </sheetViews>
  <sheetFormatPr defaultColWidth="0" defaultRowHeight="21.95" customHeight="1"/>
  <cols>
    <col min="1" max="1" width="5.875" style="582" customWidth="1"/>
    <col min="2" max="2" width="4.125" style="582" customWidth="1"/>
    <col min="3" max="3" width="3.375" style="582" customWidth="1"/>
    <col min="4" max="4" width="3.875" style="582" customWidth="1"/>
    <col min="5" max="5" width="4.25" style="582" customWidth="1"/>
    <col min="6" max="6" width="3.125" style="582" customWidth="1"/>
    <col min="7" max="8" width="2.625" style="582" customWidth="1"/>
    <col min="9" max="9" width="4.625" style="582" customWidth="1"/>
    <col min="10" max="10" width="9" style="582" customWidth="1"/>
    <col min="11" max="11" width="4.125" style="582" customWidth="1"/>
    <col min="12" max="12" width="6.5" style="582" customWidth="1"/>
    <col min="13" max="13" width="7" style="582" customWidth="1"/>
    <col min="14" max="15" width="3.625" style="582" customWidth="1"/>
    <col min="16" max="16" width="6.125" style="582" customWidth="1"/>
    <col min="17" max="17" width="3.625" style="582" customWidth="1"/>
    <col min="18" max="19" width="4.125" style="582" customWidth="1"/>
    <col min="20" max="20" width="6.25" style="582" customWidth="1"/>
    <col min="21" max="23" width="4.125" style="582" hidden="1" customWidth="1"/>
    <col min="24" max="24" width="2.625" style="582" hidden="1" customWidth="1"/>
    <col min="25" max="32" width="0" style="582" hidden="1" customWidth="1"/>
    <col min="33" max="35" width="4.125" style="582" hidden="1" customWidth="1"/>
    <col min="36" max="37" width="2.625" style="582" hidden="1" customWidth="1"/>
    <col min="38" max="16384" width="0" style="582" hidden="1"/>
  </cols>
  <sheetData>
    <row r="1" spans="1:25" ht="21.95" customHeight="1">
      <c r="A1" s="1280" t="s">
        <v>38</v>
      </c>
      <c r="B1" s="1280"/>
      <c r="C1" s="1280"/>
      <c r="D1" s="1280"/>
      <c r="E1" s="1280"/>
      <c r="F1" s="1280"/>
      <c r="G1" s="1280"/>
      <c r="H1" s="1280"/>
      <c r="I1" s="1280"/>
      <c r="J1" s="1280"/>
      <c r="K1" s="1280"/>
      <c r="L1" s="1280"/>
      <c r="M1" s="1280"/>
      <c r="N1" s="1280"/>
      <c r="O1" s="1280"/>
      <c r="P1" s="1280"/>
      <c r="Q1" s="1280"/>
      <c r="R1" s="1280"/>
      <c r="S1" s="1280"/>
      <c r="T1" s="1280"/>
      <c r="U1" s="1280"/>
      <c r="V1" s="1280"/>
      <c r="W1" s="1280"/>
      <c r="X1" s="1280"/>
    </row>
    <row r="2" spans="1:25" ht="21.95" customHeight="1">
      <c r="A2" s="1281"/>
      <c r="B2" s="1281"/>
      <c r="C2" s="1281"/>
      <c r="D2" s="1281"/>
      <c r="E2" s="1281"/>
      <c r="F2" s="1281"/>
      <c r="G2" s="1281"/>
      <c r="H2" s="1281"/>
      <c r="I2" s="1281"/>
      <c r="J2" s="1281"/>
      <c r="K2" s="1281"/>
      <c r="L2" s="1281"/>
      <c r="M2" s="1281"/>
      <c r="N2" s="1281"/>
      <c r="O2" s="1281"/>
      <c r="P2" s="1281"/>
      <c r="Q2" s="1281"/>
      <c r="R2" s="1281"/>
      <c r="S2" s="1281"/>
      <c r="T2" s="1281"/>
      <c r="U2" s="1281"/>
      <c r="V2" s="1281"/>
      <c r="W2" s="1281"/>
      <c r="X2" s="1281"/>
    </row>
    <row r="3" spans="1:25" ht="21.95" customHeight="1">
      <c r="A3" s="583" t="s">
        <v>39</v>
      </c>
      <c r="B3" s="584" t="s">
        <v>40</v>
      </c>
      <c r="C3" s="584"/>
      <c r="D3" s="584"/>
      <c r="E3" s="1282" t="s">
        <v>438</v>
      </c>
      <c r="F3" s="1282"/>
      <c r="G3" s="1282"/>
      <c r="H3" s="1282"/>
      <c r="I3" s="1282"/>
      <c r="J3" s="1282"/>
      <c r="K3" s="1282"/>
      <c r="L3" s="1282"/>
      <c r="M3" s="1282"/>
      <c r="N3" s="1282"/>
      <c r="O3" s="1282"/>
      <c r="P3" s="1282"/>
      <c r="Q3" s="1282"/>
      <c r="R3" s="1282"/>
      <c r="S3" s="1282"/>
      <c r="T3" s="1282"/>
      <c r="U3" s="1282"/>
      <c r="V3" s="1282"/>
      <c r="W3" s="1282"/>
      <c r="X3" s="1282"/>
    </row>
    <row r="4" spans="1:25" ht="21.95" customHeight="1">
      <c r="A4" s="585" t="s">
        <v>39</v>
      </c>
      <c r="B4" s="1274" t="s">
        <v>41</v>
      </c>
      <c r="C4" s="1274"/>
      <c r="D4" s="1274"/>
      <c r="E4" s="1283"/>
      <c r="F4" s="1284"/>
      <c r="G4" s="1284"/>
      <c r="H4" s="1284"/>
      <c r="I4" s="1284"/>
      <c r="J4" s="1284"/>
      <c r="K4" s="1284"/>
      <c r="L4" s="1284"/>
      <c r="M4" s="1284"/>
      <c r="N4" s="1284"/>
      <c r="O4" s="1284"/>
      <c r="P4" s="1284"/>
      <c r="Q4" s="1284"/>
      <c r="R4" s="1284"/>
      <c r="S4" s="1284"/>
      <c r="T4" s="1284"/>
      <c r="U4" s="1284"/>
      <c r="V4" s="1284"/>
      <c r="W4" s="1284"/>
      <c r="X4" s="1284"/>
    </row>
    <row r="5" spans="1:25" ht="21.95" customHeight="1">
      <c r="A5" s="585" t="s">
        <v>39</v>
      </c>
      <c r="B5" s="1274" t="s">
        <v>42</v>
      </c>
      <c r="C5" s="1274"/>
      <c r="D5" s="1274"/>
      <c r="E5" s="1278"/>
      <c r="F5" s="1274"/>
      <c r="G5" s="1274"/>
      <c r="H5" s="1274"/>
      <c r="I5" s="1274"/>
      <c r="J5" s="1274"/>
      <c r="K5" s="1274"/>
      <c r="L5" s="1274"/>
      <c r="M5" s="1274"/>
      <c r="N5" s="1274"/>
      <c r="O5" s="1274"/>
      <c r="P5" s="1274"/>
      <c r="Q5" s="1274"/>
      <c r="R5" s="1274"/>
      <c r="S5" s="1274"/>
      <c r="T5" s="1274"/>
      <c r="U5" s="1274"/>
      <c r="V5" s="1274"/>
      <c r="W5" s="1274"/>
      <c r="X5" s="1274"/>
    </row>
    <row r="6" spans="1:25" ht="21.95" customHeight="1">
      <c r="A6" s="585" t="s">
        <v>39</v>
      </c>
      <c r="B6" s="586" t="s">
        <v>43</v>
      </c>
      <c r="C6" s="586"/>
      <c r="D6" s="586"/>
      <c r="E6" s="586"/>
      <c r="F6" s="586"/>
      <c r="G6" s="586"/>
      <c r="H6" s="586"/>
      <c r="I6" s="586"/>
      <c r="J6" s="1279"/>
      <c r="K6" s="1279"/>
      <c r="L6" s="1279"/>
      <c r="M6" s="1279"/>
      <c r="N6" s="1279"/>
      <c r="O6" s="1279"/>
      <c r="P6" s="1279"/>
      <c r="Q6" s="1279"/>
      <c r="R6" s="1279"/>
      <c r="S6" s="1279"/>
      <c r="T6" s="1279"/>
      <c r="U6" s="1279"/>
      <c r="V6" s="1279"/>
      <c r="W6" s="1279"/>
      <c r="X6" s="1279"/>
      <c r="Y6" s="1279"/>
    </row>
    <row r="7" spans="1:25" ht="21.95" customHeight="1">
      <c r="A7" s="585" t="s">
        <v>39</v>
      </c>
      <c r="B7" s="586" t="s">
        <v>44</v>
      </c>
      <c r="C7" s="586"/>
      <c r="D7" s="1273"/>
      <c r="E7" s="1273"/>
      <c r="F7" s="1273"/>
      <c r="G7" s="1273"/>
      <c r="H7" s="1273"/>
      <c r="I7" s="1273"/>
      <c r="J7" s="1273"/>
      <c r="K7" s="1273"/>
      <c r="L7" s="1273"/>
      <c r="M7" s="1273"/>
      <c r="N7" s="1273"/>
      <c r="O7" s="1273"/>
      <c r="P7" s="1273"/>
      <c r="Q7" s="1274" t="s">
        <v>45</v>
      </c>
      <c r="R7" s="1274"/>
      <c r="S7" s="1274"/>
      <c r="T7" s="1275"/>
      <c r="U7" s="1275"/>
      <c r="V7" s="1275"/>
      <c r="W7" s="1275"/>
      <c r="X7" s="1275"/>
    </row>
    <row r="8" spans="1:25" ht="21.95" customHeight="1">
      <c r="A8" s="585" t="s">
        <v>39</v>
      </c>
      <c r="B8" s="1274" t="s">
        <v>46</v>
      </c>
      <c r="C8" s="1274"/>
      <c r="D8" s="1274"/>
      <c r="E8" s="1274"/>
      <c r="F8" s="1274" t="s">
        <v>47</v>
      </c>
      <c r="G8" s="1274"/>
      <c r="H8" s="1274"/>
      <c r="I8" s="1274"/>
      <c r="J8" s="1276" t="s">
        <v>14</v>
      </c>
      <c r="K8" s="1276"/>
      <c r="L8" s="587">
        <v>5</v>
      </c>
      <c r="M8" s="585" t="s">
        <v>48</v>
      </c>
      <c r="N8" s="1274"/>
      <c r="O8" s="1274"/>
      <c r="P8" s="1274"/>
      <c r="Q8" s="1274"/>
      <c r="R8" s="1274"/>
      <c r="S8" s="1274"/>
      <c r="T8" s="1274"/>
      <c r="U8" s="1274"/>
      <c r="V8" s="1274"/>
      <c r="W8" s="1274"/>
      <c r="X8" s="1274"/>
    </row>
    <row r="9" spans="1:25" ht="21.95" customHeight="1">
      <c r="A9" s="585" t="s">
        <v>39</v>
      </c>
      <c r="B9" s="1274" t="s">
        <v>21</v>
      </c>
      <c r="C9" s="1274"/>
      <c r="D9" s="1274"/>
      <c r="E9" s="1274"/>
      <c r="F9" s="1292">
        <v>44502</v>
      </c>
      <c r="G9" s="1292"/>
      <c r="H9" s="1292"/>
      <c r="I9" s="1292"/>
      <c r="J9" s="1292"/>
      <c r="K9" s="588"/>
      <c r="L9" s="589"/>
      <c r="M9" s="590"/>
      <c r="N9" s="590"/>
      <c r="O9" s="590"/>
      <c r="P9" s="590"/>
      <c r="Q9" s="590"/>
      <c r="R9" s="590"/>
      <c r="S9" s="590"/>
      <c r="T9" s="590"/>
      <c r="U9" s="590"/>
      <c r="V9" s="590"/>
      <c r="W9" s="590"/>
      <c r="X9" s="590"/>
    </row>
    <row r="10" spans="1:25" ht="21.95" customHeight="1">
      <c r="A10" s="591"/>
      <c r="B10" s="1270"/>
      <c r="C10" s="1270"/>
      <c r="D10" s="1270"/>
      <c r="E10" s="1270"/>
      <c r="F10" s="1270"/>
      <c r="G10" s="1270"/>
      <c r="H10" s="1270"/>
      <c r="I10" s="1270"/>
      <c r="J10" s="1270"/>
      <c r="K10" s="1271"/>
      <c r="L10" s="1271"/>
      <c r="M10" s="1271"/>
      <c r="N10" s="1271"/>
      <c r="O10" s="1272"/>
      <c r="P10" s="1272"/>
      <c r="Q10" s="1272"/>
      <c r="R10" s="1271"/>
      <c r="S10" s="1271"/>
      <c r="T10" s="1271"/>
      <c r="U10" s="1291"/>
      <c r="V10" s="1291"/>
      <c r="W10" s="1291"/>
      <c r="X10" s="1291"/>
    </row>
    <row r="11" spans="1:25" ht="50.1" customHeight="1">
      <c r="A11" s="592" t="s">
        <v>7</v>
      </c>
      <c r="B11" s="1285" t="s">
        <v>18</v>
      </c>
      <c r="C11" s="1285"/>
      <c r="D11" s="1285"/>
      <c r="E11" s="1285"/>
      <c r="F11" s="1285"/>
      <c r="G11" s="1285"/>
      <c r="H11" s="1285"/>
      <c r="I11" s="1285"/>
      <c r="J11" s="1285"/>
      <c r="K11" s="1286" t="s">
        <v>49</v>
      </c>
      <c r="L11" s="1285"/>
      <c r="M11" s="1285"/>
      <c r="N11" s="1285"/>
      <c r="O11" s="1285" t="s">
        <v>453</v>
      </c>
      <c r="P11" s="1285"/>
      <c r="Q11" s="1285"/>
      <c r="R11" s="1287" t="s">
        <v>50</v>
      </c>
      <c r="S11" s="1288"/>
      <c r="T11" s="1288"/>
      <c r="U11" s="1289" t="s">
        <v>134</v>
      </c>
      <c r="V11" s="1289"/>
      <c r="W11" s="1289"/>
      <c r="X11" s="1290"/>
    </row>
    <row r="12" spans="1:25" ht="21.95" customHeight="1">
      <c r="A12" s="593"/>
      <c r="B12" s="1263" t="s">
        <v>438</v>
      </c>
      <c r="C12" s="1263"/>
      <c r="D12" s="1263"/>
      <c r="E12" s="1263"/>
      <c r="F12" s="1263"/>
      <c r="G12" s="1263"/>
      <c r="H12" s="1263"/>
      <c r="I12" s="1263"/>
      <c r="J12" s="1263"/>
      <c r="K12" s="1264">
        <f>สรุปราคา!J27</f>
        <v>1744601.5</v>
      </c>
      <c r="L12" s="1264"/>
      <c r="M12" s="1264"/>
      <c r="N12" s="1264"/>
      <c r="O12" s="1265">
        <v>1.1499999999999999</v>
      </c>
      <c r="P12" s="1265"/>
      <c r="Q12" s="1265"/>
      <c r="R12" s="1266">
        <f>K12*O12</f>
        <v>2006291.7249999999</v>
      </c>
      <c r="S12" s="1267"/>
      <c r="T12" s="1268"/>
      <c r="U12" s="1258"/>
      <c r="V12" s="1259"/>
      <c r="W12" s="1259"/>
      <c r="X12" s="1259"/>
    </row>
    <row r="13" spans="1:25" ht="21.95" customHeight="1">
      <c r="A13" s="594"/>
      <c r="B13" s="1260"/>
      <c r="C13" s="1261"/>
      <c r="D13" s="1261"/>
      <c r="E13" s="1261"/>
      <c r="F13" s="1261"/>
      <c r="G13" s="1261"/>
      <c r="H13" s="1261"/>
      <c r="I13" s="1261"/>
      <c r="J13" s="1262"/>
      <c r="K13" s="1244"/>
      <c r="L13" s="1244"/>
      <c r="M13" s="1244"/>
      <c r="N13" s="1244"/>
      <c r="O13" s="1269"/>
      <c r="P13" s="1269"/>
      <c r="Q13" s="1269"/>
      <c r="R13" s="1255"/>
      <c r="S13" s="1256"/>
      <c r="T13" s="1257"/>
      <c r="U13" s="1253"/>
      <c r="V13" s="1254"/>
      <c r="W13" s="1254"/>
      <c r="X13" s="1254"/>
    </row>
    <row r="14" spans="1:25" ht="21.95" customHeight="1">
      <c r="A14" s="594"/>
      <c r="B14" s="1260"/>
      <c r="C14" s="1261"/>
      <c r="D14" s="1261"/>
      <c r="E14" s="1261"/>
      <c r="F14" s="1261"/>
      <c r="G14" s="1261"/>
      <c r="H14" s="1261"/>
      <c r="I14" s="1261"/>
      <c r="J14" s="1262"/>
      <c r="K14" s="1244"/>
      <c r="L14" s="1244"/>
      <c r="M14" s="1244"/>
      <c r="N14" s="1244"/>
      <c r="O14" s="1245"/>
      <c r="P14" s="1245"/>
      <c r="Q14" s="1245"/>
      <c r="R14" s="1255"/>
      <c r="S14" s="1256"/>
      <c r="T14" s="1257"/>
      <c r="U14" s="1253"/>
      <c r="V14" s="1254"/>
      <c r="W14" s="1254"/>
      <c r="X14" s="1254"/>
    </row>
    <row r="15" spans="1:25" ht="21.95" customHeight="1">
      <c r="A15" s="595"/>
      <c r="B15" s="596"/>
      <c r="C15" s="597"/>
      <c r="D15" s="597"/>
      <c r="E15" s="597"/>
      <c r="F15" s="597"/>
      <c r="G15" s="597"/>
      <c r="H15" s="597"/>
      <c r="I15" s="597"/>
      <c r="J15" s="598"/>
      <c r="K15" s="1244"/>
      <c r="L15" s="1244"/>
      <c r="M15" s="1244"/>
      <c r="N15" s="1244"/>
      <c r="O15" s="1245"/>
      <c r="P15" s="1245"/>
      <c r="Q15" s="1245"/>
      <c r="R15" s="1255"/>
      <c r="S15" s="1256"/>
      <c r="T15" s="1257"/>
      <c r="U15" s="1253"/>
      <c r="V15" s="1254"/>
      <c r="W15" s="1254"/>
      <c r="X15" s="1254"/>
    </row>
    <row r="16" spans="1:25" ht="21.95" customHeight="1">
      <c r="A16" s="595"/>
      <c r="B16" s="1246"/>
      <c r="C16" s="1246"/>
      <c r="D16" s="1246"/>
      <c r="E16" s="1246"/>
      <c r="F16" s="1246"/>
      <c r="G16" s="1246"/>
      <c r="H16" s="1247"/>
      <c r="I16" s="1242"/>
      <c r="J16" s="1243"/>
      <c r="K16" s="1244"/>
      <c r="L16" s="1244"/>
      <c r="M16" s="1244"/>
      <c r="N16" s="1244"/>
      <c r="O16" s="1245"/>
      <c r="P16" s="1245"/>
      <c r="Q16" s="1245"/>
      <c r="R16" s="1250"/>
      <c r="S16" s="1251"/>
      <c r="T16" s="1252"/>
      <c r="U16" s="1253"/>
      <c r="V16" s="1254"/>
      <c r="W16" s="1254"/>
      <c r="X16" s="1254"/>
    </row>
    <row r="17" spans="1:24" ht="21.95" customHeight="1">
      <c r="A17" s="595"/>
      <c r="B17" s="1240"/>
      <c r="C17" s="1240"/>
      <c r="D17" s="1240"/>
      <c r="E17" s="1240"/>
      <c r="F17" s="1240"/>
      <c r="G17" s="1240"/>
      <c r="H17" s="1241"/>
      <c r="I17" s="1242"/>
      <c r="J17" s="1243"/>
      <c r="K17" s="1244"/>
      <c r="L17" s="1244"/>
      <c r="M17" s="1244"/>
      <c r="N17" s="1244"/>
      <c r="O17" s="1245"/>
      <c r="P17" s="1245"/>
      <c r="Q17" s="1245"/>
      <c r="R17" s="1250"/>
      <c r="S17" s="1251"/>
      <c r="T17" s="1252"/>
      <c r="U17" s="1253"/>
      <c r="V17" s="1254"/>
      <c r="W17" s="1254"/>
      <c r="X17" s="1254"/>
    </row>
    <row r="18" spans="1:24" ht="21.95" customHeight="1">
      <c r="A18" s="595"/>
      <c r="B18" s="1246"/>
      <c r="C18" s="1246"/>
      <c r="D18" s="1246"/>
      <c r="E18" s="1246"/>
      <c r="F18" s="1246"/>
      <c r="G18" s="1246"/>
      <c r="H18" s="1247"/>
      <c r="I18" s="1242"/>
      <c r="J18" s="1243"/>
      <c r="K18" s="1244"/>
      <c r="L18" s="1244"/>
      <c r="M18" s="1244"/>
      <c r="N18" s="1244"/>
      <c r="O18" s="1245"/>
      <c r="P18" s="1245"/>
      <c r="Q18" s="1245"/>
      <c r="R18" s="1250"/>
      <c r="S18" s="1251"/>
      <c r="T18" s="1252"/>
      <c r="U18" s="1253"/>
      <c r="V18" s="1254"/>
      <c r="W18" s="1254"/>
      <c r="X18" s="1254"/>
    </row>
    <row r="19" spans="1:24" ht="21.95" customHeight="1">
      <c r="A19" s="595"/>
      <c r="B19" s="1246"/>
      <c r="C19" s="1246"/>
      <c r="D19" s="1246"/>
      <c r="E19" s="1246"/>
      <c r="F19" s="1246"/>
      <c r="G19" s="1246"/>
      <c r="H19" s="1247"/>
      <c r="I19" s="1248"/>
      <c r="J19" s="1249"/>
      <c r="K19" s="1244"/>
      <c r="L19" s="1244"/>
      <c r="M19" s="1244"/>
      <c r="N19" s="1244"/>
      <c r="O19" s="1245"/>
      <c r="P19" s="1245"/>
      <c r="Q19" s="1245"/>
      <c r="R19" s="1250"/>
      <c r="S19" s="1251"/>
      <c r="T19" s="1252"/>
      <c r="U19" s="1253"/>
      <c r="V19" s="1254"/>
      <c r="W19" s="1254"/>
      <c r="X19" s="1254"/>
    </row>
    <row r="20" spans="1:24" ht="21.95" customHeight="1">
      <c r="A20" s="599"/>
      <c r="B20" s="1233"/>
      <c r="C20" s="1233"/>
      <c r="D20" s="1233"/>
      <c r="E20" s="1233"/>
      <c r="F20" s="1233"/>
      <c r="G20" s="1233"/>
      <c r="H20" s="1234"/>
      <c r="I20" s="1235"/>
      <c r="J20" s="1236"/>
      <c r="K20" s="1237"/>
      <c r="L20" s="1237"/>
      <c r="M20" s="1237"/>
      <c r="N20" s="1237"/>
      <c r="O20" s="1212"/>
      <c r="P20" s="1212"/>
      <c r="Q20" s="1212"/>
      <c r="R20" s="1213"/>
      <c r="S20" s="1214"/>
      <c r="T20" s="1215"/>
      <c r="U20" s="1210"/>
      <c r="V20" s="1211"/>
      <c r="W20" s="1211"/>
      <c r="X20" s="1211"/>
    </row>
    <row r="21" spans="1:24" ht="21.95" customHeight="1">
      <c r="A21" s="600" t="s">
        <v>51</v>
      </c>
      <c r="B21" s="1216" t="s">
        <v>52</v>
      </c>
      <c r="C21" s="1217"/>
      <c r="D21" s="1217"/>
      <c r="E21" s="1217"/>
      <c r="F21" s="1217"/>
      <c r="G21" s="1217"/>
      <c r="H21" s="1217"/>
      <c r="I21" s="1217"/>
      <c r="J21" s="1217"/>
      <c r="K21" s="1217"/>
      <c r="L21" s="1217"/>
      <c r="M21" s="1217"/>
      <c r="N21" s="1217"/>
      <c r="O21" s="1217"/>
      <c r="P21" s="1217"/>
      <c r="Q21" s="1218"/>
      <c r="R21" s="1227">
        <f>SUM(R12:T20)</f>
        <v>2006291.7249999999</v>
      </c>
      <c r="S21" s="1228"/>
      <c r="T21" s="1229"/>
      <c r="U21" s="1238"/>
      <c r="V21" s="1238"/>
      <c r="W21" s="1238"/>
      <c r="X21" s="1239"/>
    </row>
    <row r="22" spans="1:24" ht="21.95" customHeight="1">
      <c r="A22" s="601"/>
      <c r="B22" s="602" t="s">
        <v>444</v>
      </c>
      <c r="C22" s="603"/>
      <c r="D22" s="603"/>
      <c r="E22" s="603"/>
      <c r="F22" s="603"/>
      <c r="G22" s="603"/>
      <c r="H22" s="604" t="s">
        <v>53</v>
      </c>
      <c r="I22" s="1230" t="str">
        <f>(BAHTTEXT((R22)))</f>
        <v>สองล้านบาทถ้วน</v>
      </c>
      <c r="J22" s="1230"/>
      <c r="K22" s="1230"/>
      <c r="L22" s="1230"/>
      <c r="M22" s="1230"/>
      <c r="N22" s="1230"/>
      <c r="O22" s="1230"/>
      <c r="P22" s="1230"/>
      <c r="Q22" s="604" t="s">
        <v>54</v>
      </c>
      <c r="R22" s="1227">
        <f>+FLOOR(R21,10000)</f>
        <v>2000000</v>
      </c>
      <c r="S22" s="1228"/>
      <c r="T22" s="1229"/>
      <c r="U22" s="1231" t="s">
        <v>55</v>
      </c>
      <c r="V22" s="1231"/>
      <c r="W22" s="1231"/>
      <c r="X22" s="1232"/>
    </row>
    <row r="23" spans="1:24" ht="21.95" hidden="1" customHeight="1">
      <c r="A23" s="605" t="s">
        <v>39</v>
      </c>
      <c r="B23" s="1222" t="s">
        <v>56</v>
      </c>
      <c r="C23" s="1222"/>
      <c r="D23" s="1222"/>
      <c r="E23" s="1222"/>
      <c r="F23" s="1222"/>
      <c r="G23" s="1223">
        <v>70</v>
      </c>
      <c r="H23" s="1223"/>
      <c r="I23" s="1223"/>
      <c r="J23" s="606" t="s">
        <v>121</v>
      </c>
      <c r="K23" s="606"/>
      <c r="L23" s="606"/>
      <c r="M23" s="607"/>
      <c r="N23" s="607"/>
      <c r="O23" s="607"/>
      <c r="P23" s="607"/>
      <c r="Q23" s="607"/>
      <c r="R23" s="607"/>
      <c r="S23" s="607"/>
      <c r="T23" s="607"/>
      <c r="U23" s="608"/>
      <c r="V23" s="608"/>
      <c r="W23" s="608"/>
      <c r="X23" s="608"/>
    </row>
    <row r="24" spans="1:24" ht="21.95" hidden="1" customHeight="1">
      <c r="A24" s="609" t="s">
        <v>39</v>
      </c>
      <c r="B24" s="1224" t="s">
        <v>57</v>
      </c>
      <c r="C24" s="1224"/>
      <c r="D24" s="1224"/>
      <c r="E24" s="1224"/>
      <c r="F24" s="1224"/>
      <c r="G24" s="1225">
        <f>R22/G23</f>
        <v>28571.428571428572</v>
      </c>
      <c r="H24" s="1225"/>
      <c r="I24" s="1225"/>
      <c r="J24" s="1220" t="s">
        <v>58</v>
      </c>
      <c r="K24" s="1220"/>
      <c r="L24" s="1220"/>
      <c r="M24" s="1221"/>
      <c r="N24" s="1221"/>
      <c r="O24" s="1221"/>
      <c r="P24" s="1221"/>
      <c r="Q24" s="1221"/>
      <c r="R24" s="1221"/>
      <c r="S24" s="1221"/>
      <c r="T24" s="1221"/>
      <c r="U24" s="1221"/>
      <c r="V24" s="1221"/>
      <c r="W24" s="1221"/>
      <c r="X24" s="1221"/>
    </row>
    <row r="25" spans="1:24" ht="21.95" customHeight="1">
      <c r="A25" s="610"/>
      <c r="B25" s="611"/>
      <c r="C25" s="611"/>
      <c r="D25" s="611"/>
      <c r="E25" s="611"/>
      <c r="F25" s="611"/>
      <c r="G25" s="612"/>
      <c r="H25" s="612"/>
      <c r="I25" s="612"/>
      <c r="J25" s="613"/>
      <c r="K25" s="613"/>
      <c r="L25" s="613"/>
      <c r="M25" s="614"/>
      <c r="N25" s="614"/>
      <c r="O25" s="614"/>
      <c r="P25" s="614"/>
      <c r="Q25" s="614"/>
      <c r="R25" s="1219"/>
      <c r="S25" s="1219"/>
      <c r="T25" s="1219"/>
      <c r="U25" s="614"/>
      <c r="V25" s="614"/>
      <c r="W25" s="614"/>
      <c r="X25" s="614"/>
    </row>
    <row r="26" spans="1:24" s="615" customFormat="1" ht="21.95" customHeight="1">
      <c r="A26" s="1226"/>
      <c r="B26" s="1226"/>
      <c r="C26" s="1226"/>
      <c r="D26" s="1226"/>
      <c r="E26" s="1226"/>
      <c r="F26" s="1226"/>
      <c r="G26" s="1226"/>
      <c r="H26" s="1226"/>
      <c r="I26" s="1226"/>
      <c r="J26" s="1226"/>
      <c r="K26" s="1226"/>
      <c r="L26" s="1226"/>
      <c r="M26" s="1226"/>
      <c r="N26" s="1226"/>
      <c r="O26" s="1226"/>
      <c r="P26" s="1226"/>
      <c r="Q26" s="1226"/>
      <c r="R26" s="1226"/>
      <c r="S26" s="1226"/>
      <c r="T26" s="1226"/>
      <c r="U26" s="1226"/>
      <c r="V26" s="1226"/>
      <c r="W26" s="1226"/>
      <c r="X26" s="1226"/>
    </row>
    <row r="27" spans="1:24" s="617" customFormat="1" ht="21.9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208"/>
      <c r="N27" s="1208"/>
      <c r="O27" s="1208"/>
      <c r="P27" s="1208"/>
      <c r="Q27" s="1208"/>
      <c r="R27" s="1208"/>
      <c r="S27" s="1208"/>
      <c r="T27" s="1"/>
      <c r="U27" s="1"/>
      <c r="V27" s="616"/>
      <c r="W27" s="2"/>
      <c r="X27" s="616"/>
    </row>
    <row r="28" spans="1:24" ht="21.95" customHeight="1">
      <c r="A28" s="616"/>
      <c r="B28" s="616"/>
      <c r="C28" s="616"/>
      <c r="D28" s="616"/>
      <c r="E28" s="616"/>
      <c r="F28" s="616"/>
      <c r="G28" s="616"/>
      <c r="H28" s="616"/>
      <c r="I28" s="616"/>
      <c r="J28" s="616"/>
      <c r="K28" s="616"/>
      <c r="L28" s="616"/>
      <c r="M28" s="1208"/>
      <c r="N28" s="1208"/>
      <c r="O28" s="1208"/>
      <c r="P28" s="1208"/>
      <c r="Q28" s="1208"/>
      <c r="R28" s="1208"/>
      <c r="S28" s="1208"/>
      <c r="T28" s="616"/>
      <c r="U28" s="616"/>
      <c r="V28" s="616"/>
      <c r="W28" s="616"/>
      <c r="X28" s="616"/>
    </row>
    <row r="29" spans="1:24" s="618" customFormat="1" ht="21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277"/>
      <c r="S29" s="1277"/>
      <c r="T29" s="1277"/>
      <c r="U29" s="1"/>
      <c r="V29" s="1"/>
      <c r="W29" s="1"/>
      <c r="X29" s="1"/>
    </row>
    <row r="30" spans="1:24" ht="21.95" customHeight="1">
      <c r="A30" s="1209"/>
      <c r="B30" s="1209"/>
      <c r="C30" s="1209"/>
      <c r="D30" s="1209"/>
      <c r="E30" s="1209"/>
      <c r="F30" s="1209"/>
      <c r="G30" s="1209"/>
      <c r="H30" s="1209"/>
      <c r="I30" s="1209"/>
      <c r="J30" s="1209"/>
      <c r="K30" s="1209"/>
      <c r="L30" s="1209"/>
      <c r="M30" s="1209"/>
      <c r="N30" s="1209"/>
      <c r="O30" s="1209"/>
      <c r="P30" s="1209"/>
      <c r="Q30" s="1209"/>
      <c r="R30" s="1209"/>
      <c r="S30" s="1209"/>
      <c r="T30" s="1209"/>
      <c r="U30" s="1209"/>
      <c r="V30" s="1209"/>
      <c r="W30" s="1209"/>
      <c r="X30" s="1209"/>
    </row>
  </sheetData>
  <mergeCells count="94">
    <mergeCell ref="R29:T29"/>
    <mergeCell ref="B5:D5"/>
    <mergeCell ref="E5:X5"/>
    <mergeCell ref="J6:Y6"/>
    <mergeCell ref="A1:X1"/>
    <mergeCell ref="A2:X2"/>
    <mergeCell ref="E3:X3"/>
    <mergeCell ref="B4:D4"/>
    <mergeCell ref="E4:X4"/>
    <mergeCell ref="B11:J11"/>
    <mergeCell ref="K11:N11"/>
    <mergeCell ref="O11:Q11"/>
    <mergeCell ref="R11:T11"/>
    <mergeCell ref="U11:X11"/>
    <mergeCell ref="U10:X10"/>
    <mergeCell ref="F9:J9"/>
    <mergeCell ref="U13:X13"/>
    <mergeCell ref="B10:J10"/>
    <mergeCell ref="K10:N10"/>
    <mergeCell ref="O10:Q10"/>
    <mergeCell ref="D7:P7"/>
    <mergeCell ref="Q7:S7"/>
    <mergeCell ref="R10:T10"/>
    <mergeCell ref="N8:X8"/>
    <mergeCell ref="T7:X7"/>
    <mergeCell ref="B8:E8"/>
    <mergeCell ref="F8:I8"/>
    <mergeCell ref="J8:K8"/>
    <mergeCell ref="B9:E9"/>
    <mergeCell ref="B16:H16"/>
    <mergeCell ref="I16:J16"/>
    <mergeCell ref="U12:X12"/>
    <mergeCell ref="B14:J14"/>
    <mergeCell ref="K14:N14"/>
    <mergeCell ref="O14:Q14"/>
    <mergeCell ref="R14:T14"/>
    <mergeCell ref="U14:X14"/>
    <mergeCell ref="B12:J12"/>
    <mergeCell ref="K12:N12"/>
    <mergeCell ref="O12:Q12"/>
    <mergeCell ref="R12:T12"/>
    <mergeCell ref="B13:J13"/>
    <mergeCell ref="K13:N13"/>
    <mergeCell ref="O13:Q13"/>
    <mergeCell ref="R13:T13"/>
    <mergeCell ref="K15:N15"/>
    <mergeCell ref="O15:Q15"/>
    <mergeCell ref="R15:T15"/>
    <mergeCell ref="U15:X15"/>
    <mergeCell ref="R17:T17"/>
    <mergeCell ref="U17:X17"/>
    <mergeCell ref="K16:N16"/>
    <mergeCell ref="O16:Q16"/>
    <mergeCell ref="R16:T16"/>
    <mergeCell ref="U16:X16"/>
    <mergeCell ref="R18:T18"/>
    <mergeCell ref="U18:X18"/>
    <mergeCell ref="R19:T19"/>
    <mergeCell ref="U19:X19"/>
    <mergeCell ref="B18:H18"/>
    <mergeCell ref="I18:J18"/>
    <mergeCell ref="K18:N18"/>
    <mergeCell ref="O18:Q18"/>
    <mergeCell ref="O19:Q19"/>
    <mergeCell ref="K19:N19"/>
    <mergeCell ref="B17:H17"/>
    <mergeCell ref="I17:J17"/>
    <mergeCell ref="K17:N17"/>
    <mergeCell ref="O17:Q17"/>
    <mergeCell ref="B19:H19"/>
    <mergeCell ref="I19:J19"/>
    <mergeCell ref="I22:P22"/>
    <mergeCell ref="R22:T22"/>
    <mergeCell ref="U22:X22"/>
    <mergeCell ref="B20:H20"/>
    <mergeCell ref="I20:J20"/>
    <mergeCell ref="K20:N20"/>
    <mergeCell ref="U21:X21"/>
    <mergeCell ref="M28:S28"/>
    <mergeCell ref="M27:S27"/>
    <mergeCell ref="A30:X30"/>
    <mergeCell ref="U20:X20"/>
    <mergeCell ref="O20:Q20"/>
    <mergeCell ref="R20:T20"/>
    <mergeCell ref="B21:Q21"/>
    <mergeCell ref="R25:T25"/>
    <mergeCell ref="J24:L24"/>
    <mergeCell ref="M24:X24"/>
    <mergeCell ref="B23:F23"/>
    <mergeCell ref="G23:I23"/>
    <mergeCell ref="B24:F24"/>
    <mergeCell ref="G24:I24"/>
    <mergeCell ref="A26:X26"/>
    <mergeCell ref="R21:T21"/>
  </mergeCells>
  <phoneticPr fontId="3" type="noConversion"/>
  <printOptions horizontalCentered="1"/>
  <pageMargins left="0.39370078740157483" right="0.19685039370078741" top="0.59055118110236227" bottom="0.31496062992125984" header="0.47244094488188981" footer="0.11811023622047245"/>
  <pageSetup paperSize="9" scale="90" orientation="portrait" r:id="rId1"/>
  <headerFooter alignWithMargins="0">
    <oddHeader>&amp;Rปร.5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67"/>
  <sheetViews>
    <sheetView showGridLines="0" showZeros="0" view="pageBreakPreview" zoomScaleSheetLayoutView="100" workbookViewId="0">
      <selection activeCell="G3" sqref="G3"/>
    </sheetView>
  </sheetViews>
  <sheetFormatPr defaultRowHeight="24"/>
  <cols>
    <col min="1" max="1" width="5.75" style="290" customWidth="1"/>
    <col min="2" max="2" width="50.625" style="291" customWidth="1"/>
    <col min="3" max="3" width="6.875" style="290" hidden="1" customWidth="1"/>
    <col min="4" max="4" width="10.625" style="290" customWidth="1"/>
    <col min="5" max="5" width="6.5" style="290" customWidth="1"/>
    <col min="6" max="6" width="12" style="292" customWidth="1"/>
    <col min="7" max="7" width="12" style="293" customWidth="1"/>
    <col min="8" max="8" width="12" style="294" customWidth="1"/>
    <col min="9" max="9" width="12" style="293" customWidth="1"/>
    <col min="10" max="10" width="13.5" style="293" customWidth="1"/>
    <col min="11" max="11" width="11.25" style="290" customWidth="1"/>
    <col min="12" max="12" width="15.25" style="29" bestFit="1" customWidth="1"/>
    <col min="13" max="13" width="10.875" style="30" bestFit="1" customWidth="1"/>
    <col min="14" max="14" width="9" style="30"/>
    <col min="15" max="15" width="12.375" style="30" bestFit="1" customWidth="1"/>
    <col min="16" max="16" width="9.25" style="30" bestFit="1" customWidth="1"/>
    <col min="17" max="16384" width="9" style="30"/>
  </cols>
  <sheetData>
    <row r="1" spans="1:13" s="15" customFormat="1" ht="24" customHeight="1">
      <c r="A1" s="7" t="s">
        <v>439</v>
      </c>
      <c r="B1" s="8"/>
      <c r="C1" s="9"/>
      <c r="D1" s="9"/>
      <c r="E1" s="10"/>
      <c r="F1" s="11"/>
      <c r="G1" s="11"/>
      <c r="H1" s="11"/>
      <c r="I1" s="11"/>
      <c r="J1" s="12" t="s">
        <v>22</v>
      </c>
      <c r="K1" s="13"/>
      <c r="L1" s="14"/>
    </row>
    <row r="2" spans="1:13" s="15" customFormat="1" ht="24" customHeight="1">
      <c r="A2" s="7" t="s">
        <v>454</v>
      </c>
      <c r="B2" s="16"/>
      <c r="C2" s="17"/>
      <c r="D2" s="17"/>
      <c r="E2" s="18" t="s">
        <v>23</v>
      </c>
      <c r="F2" s="11"/>
      <c r="G2" s="11"/>
      <c r="H2" s="11"/>
      <c r="I2" s="19"/>
      <c r="J2" s="20" t="s">
        <v>24</v>
      </c>
      <c r="K2" s="21"/>
      <c r="L2" s="14"/>
    </row>
    <row r="3" spans="1:13" s="15" customFormat="1" ht="19.5" customHeight="1">
      <c r="A3" s="7" t="s">
        <v>431</v>
      </c>
      <c r="B3" s="16"/>
      <c r="C3" s="10"/>
      <c r="D3" s="10"/>
      <c r="E3" s="22" t="s">
        <v>21</v>
      </c>
      <c r="F3" s="22"/>
      <c r="G3" s="23">
        <f>ปร.5!F9</f>
        <v>44502</v>
      </c>
      <c r="H3" s="24"/>
      <c r="I3" s="25"/>
      <c r="J3" s="1293"/>
      <c r="K3" s="1293"/>
      <c r="L3" s="14"/>
    </row>
    <row r="4" spans="1:13" s="15" customFormat="1" ht="19.5" customHeight="1">
      <c r="A4" s="26"/>
      <c r="B4" s="27"/>
      <c r="C4" s="26"/>
      <c r="D4" s="26"/>
      <c r="E4" s="26"/>
      <c r="F4" s="28"/>
      <c r="G4" s="28"/>
      <c r="H4" s="28"/>
      <c r="I4" s="28"/>
      <c r="J4" s="28"/>
      <c r="K4" s="26"/>
      <c r="L4" s="14"/>
    </row>
    <row r="5" spans="1:13">
      <c r="A5" s="1294" t="s">
        <v>7</v>
      </c>
      <c r="B5" s="1295" t="s">
        <v>18</v>
      </c>
      <c r="C5" s="1294" t="s">
        <v>14</v>
      </c>
      <c r="D5" s="1294" t="s">
        <v>14</v>
      </c>
      <c r="E5" s="1294" t="s">
        <v>13</v>
      </c>
      <c r="F5" s="1296" t="s">
        <v>8</v>
      </c>
      <c r="G5" s="1296"/>
      <c r="H5" s="1296" t="s">
        <v>9</v>
      </c>
      <c r="I5" s="1296"/>
      <c r="J5" s="1297" t="s">
        <v>10</v>
      </c>
      <c r="K5" s="1294" t="s">
        <v>15</v>
      </c>
      <c r="M5" s="30">
        <v>176</v>
      </c>
    </row>
    <row r="6" spans="1:13">
      <c r="A6" s="1294"/>
      <c r="B6" s="1295"/>
      <c r="C6" s="1294"/>
      <c r="D6" s="1294"/>
      <c r="E6" s="1294"/>
      <c r="F6" s="31" t="s">
        <v>11</v>
      </c>
      <c r="G6" s="32" t="s">
        <v>12</v>
      </c>
      <c r="H6" s="33" t="s">
        <v>11</v>
      </c>
      <c r="I6" s="32" t="s">
        <v>12</v>
      </c>
      <c r="J6" s="1298"/>
      <c r="K6" s="1294"/>
    </row>
    <row r="7" spans="1:13">
      <c r="A7" s="34"/>
      <c r="B7" s="35" t="s">
        <v>25</v>
      </c>
      <c r="C7" s="34"/>
      <c r="D7" s="34"/>
      <c r="E7" s="34"/>
      <c r="F7" s="36"/>
      <c r="G7" s="37"/>
      <c r="H7" s="38"/>
      <c r="I7" s="37"/>
      <c r="J7" s="37"/>
      <c r="K7" s="34"/>
    </row>
    <row r="8" spans="1:13">
      <c r="A8" s="39">
        <v>1</v>
      </c>
      <c r="B8" s="40" t="s">
        <v>26</v>
      </c>
      <c r="C8" s="41"/>
      <c r="D8" s="41"/>
      <c r="E8" s="39"/>
      <c r="F8" s="42"/>
      <c r="G8" s="43"/>
      <c r="H8" s="44"/>
      <c r="I8" s="43"/>
      <c r="J8" s="43">
        <f>Str!J52</f>
        <v>629671</v>
      </c>
      <c r="K8" s="39"/>
      <c r="L8" s="45">
        <f>J8/J27</f>
        <v>0.36092540330843464</v>
      </c>
      <c r="M8" s="46">
        <f>(J8*1.1)/70</f>
        <v>9894.8300000000017</v>
      </c>
    </row>
    <row r="9" spans="1:13">
      <c r="A9" s="39">
        <v>2</v>
      </c>
      <c r="B9" s="47" t="s">
        <v>27</v>
      </c>
      <c r="C9" s="41"/>
      <c r="D9" s="41"/>
      <c r="E9" s="39"/>
      <c r="F9" s="42"/>
      <c r="G9" s="43"/>
      <c r="H9" s="44"/>
      <c r="I9" s="43"/>
      <c r="J9" s="43">
        <f>arc!J96</f>
        <v>985285.5</v>
      </c>
      <c r="K9" s="39"/>
      <c r="L9" s="45">
        <f>J9/J27</f>
        <v>0.56476249733821737</v>
      </c>
      <c r="M9" s="46">
        <f>(J9*1.1)/70</f>
        <v>15483.057857142858</v>
      </c>
    </row>
    <row r="10" spans="1:13">
      <c r="A10" s="39">
        <v>3</v>
      </c>
      <c r="B10" s="47" t="s">
        <v>120</v>
      </c>
      <c r="C10" s="41"/>
      <c r="D10" s="41"/>
      <c r="E10" s="39"/>
      <c r="F10" s="42"/>
      <c r="G10" s="43"/>
      <c r="H10" s="44"/>
      <c r="I10" s="43"/>
      <c r="J10" s="48">
        <f>Sn!J55</f>
        <v>30295</v>
      </c>
      <c r="K10" s="39"/>
      <c r="L10" s="45">
        <f>J10/J27</f>
        <v>1.7364997106789144E-2</v>
      </c>
      <c r="M10" s="46">
        <f>(J10*1.1)/70</f>
        <v>476.06428571428569</v>
      </c>
    </row>
    <row r="11" spans="1:13">
      <c r="A11" s="39">
        <v>4</v>
      </c>
      <c r="B11" s="47" t="s">
        <v>369</v>
      </c>
      <c r="C11" s="41">
        <f>+C8*2</f>
        <v>0</v>
      </c>
      <c r="D11" s="41"/>
      <c r="E11" s="39"/>
      <c r="F11" s="42"/>
      <c r="G11" s="43"/>
      <c r="H11" s="44"/>
      <c r="I11" s="43"/>
      <c r="J11" s="43">
        <f>EE!J66</f>
        <v>99350</v>
      </c>
      <c r="K11" s="39"/>
      <c r="L11" s="45">
        <f>J11/J27</f>
        <v>5.6947102246558884E-2</v>
      </c>
      <c r="M11" s="46">
        <f>(J11*1.1)/70</f>
        <v>1561.214285714286</v>
      </c>
    </row>
    <row r="12" spans="1:13">
      <c r="A12" s="39"/>
      <c r="B12" s="47"/>
      <c r="C12" s="41"/>
      <c r="D12" s="41"/>
      <c r="E12" s="39"/>
      <c r="F12" s="42"/>
      <c r="G12" s="43"/>
      <c r="H12" s="44"/>
      <c r="I12" s="43"/>
      <c r="J12" s="43"/>
      <c r="K12" s="39"/>
      <c r="L12" s="45"/>
      <c r="M12" s="46"/>
    </row>
    <row r="13" spans="1:13">
      <c r="A13" s="39"/>
      <c r="B13" s="47"/>
      <c r="C13" s="41"/>
      <c r="D13" s="41"/>
      <c r="E13" s="39"/>
      <c r="F13" s="42"/>
      <c r="G13" s="43"/>
      <c r="H13" s="44"/>
      <c r="I13" s="43"/>
      <c r="J13" s="43"/>
      <c r="K13" s="39"/>
      <c r="L13" s="49"/>
      <c r="M13" s="46"/>
    </row>
    <row r="14" spans="1:13">
      <c r="A14" s="39"/>
      <c r="B14" s="47"/>
      <c r="C14" s="41"/>
      <c r="D14" s="41"/>
      <c r="E14" s="39"/>
      <c r="F14" s="42"/>
      <c r="G14" s="43"/>
      <c r="H14" s="44"/>
      <c r="I14" s="43"/>
      <c r="J14" s="43"/>
      <c r="K14" s="39"/>
      <c r="L14" s="50">
        <f>SUM(L8:L13)</f>
        <v>1.0000000000000002</v>
      </c>
    </row>
    <row r="15" spans="1:13">
      <c r="A15" s="39"/>
      <c r="B15" s="47"/>
      <c r="C15" s="41"/>
      <c r="D15" s="41"/>
      <c r="E15" s="39"/>
      <c r="F15" s="42"/>
      <c r="G15" s="43"/>
      <c r="H15" s="44"/>
      <c r="I15" s="43"/>
      <c r="J15" s="43"/>
      <c r="K15" s="39"/>
    </row>
    <row r="16" spans="1:13">
      <c r="A16" s="39"/>
      <c r="B16" s="47"/>
      <c r="C16" s="41"/>
      <c r="D16" s="41"/>
      <c r="E16" s="39"/>
      <c r="F16" s="42"/>
      <c r="G16" s="43"/>
      <c r="H16" s="44"/>
      <c r="I16" s="43"/>
      <c r="J16" s="43"/>
      <c r="K16" s="39"/>
    </row>
    <row r="17" spans="1:16">
      <c r="A17" s="39"/>
      <c r="B17" s="47"/>
      <c r="C17" s="41"/>
      <c r="D17" s="41"/>
      <c r="E17" s="39"/>
      <c r="F17" s="42"/>
      <c r="G17" s="43"/>
      <c r="H17" s="44"/>
      <c r="I17" s="43"/>
      <c r="J17" s="43"/>
      <c r="K17" s="39"/>
    </row>
    <row r="18" spans="1:16">
      <c r="A18" s="39"/>
      <c r="B18" s="47"/>
      <c r="C18" s="41"/>
      <c r="D18" s="41"/>
      <c r="E18" s="39"/>
      <c r="F18" s="42"/>
      <c r="G18" s="43"/>
      <c r="H18" s="44"/>
      <c r="I18" s="43"/>
      <c r="J18" s="43"/>
      <c r="K18" s="39"/>
    </row>
    <row r="19" spans="1:16">
      <c r="A19" s="39"/>
      <c r="B19" s="47"/>
      <c r="C19" s="41"/>
      <c r="D19" s="41"/>
      <c r="E19" s="39"/>
      <c r="F19" s="42"/>
      <c r="G19" s="43"/>
      <c r="H19" s="44"/>
      <c r="I19" s="43"/>
      <c r="J19" s="43"/>
      <c r="K19" s="39"/>
      <c r="O19" s="46">
        <f>Str!I52+arc!I96+Sn!J55+EE!J66</f>
        <v>628896</v>
      </c>
      <c r="P19" s="30">
        <f>(O19*1.15)/115</f>
        <v>6288.9599999999991</v>
      </c>
    </row>
    <row r="20" spans="1:16">
      <c r="A20" s="39"/>
      <c r="B20" s="47"/>
      <c r="C20" s="41"/>
      <c r="D20" s="41"/>
      <c r="E20" s="39"/>
      <c r="F20" s="42"/>
      <c r="G20" s="43"/>
      <c r="H20" s="44"/>
      <c r="I20" s="43"/>
      <c r="J20" s="43"/>
      <c r="K20" s="39"/>
    </row>
    <row r="21" spans="1:16">
      <c r="A21" s="39"/>
      <c r="B21" s="47"/>
      <c r="C21" s="41"/>
      <c r="D21" s="41"/>
      <c r="E21" s="39"/>
      <c r="F21" s="42"/>
      <c r="G21" s="43"/>
      <c r="H21" s="44"/>
      <c r="I21" s="43"/>
      <c r="J21" s="43"/>
      <c r="K21" s="39"/>
    </row>
    <row r="22" spans="1:16">
      <c r="A22" s="39"/>
      <c r="B22" s="47"/>
      <c r="C22" s="41"/>
      <c r="D22" s="41"/>
      <c r="E22" s="39"/>
      <c r="F22" s="42"/>
      <c r="G22" s="43"/>
      <c r="H22" s="44"/>
      <c r="I22" s="43"/>
      <c r="J22" s="43"/>
      <c r="K22" s="39"/>
    </row>
    <row r="23" spans="1:16">
      <c r="A23" s="39"/>
      <c r="B23" s="47"/>
      <c r="C23" s="41"/>
      <c r="D23" s="41"/>
      <c r="E23" s="39"/>
      <c r="F23" s="42"/>
      <c r="G23" s="43"/>
      <c r="H23" s="44"/>
      <c r="I23" s="43"/>
      <c r="J23" s="43"/>
      <c r="K23" s="39"/>
    </row>
    <row r="24" spans="1:16">
      <c r="A24" s="39"/>
      <c r="B24" s="47"/>
      <c r="C24" s="41"/>
      <c r="D24" s="41"/>
      <c r="E24" s="39"/>
      <c r="F24" s="42"/>
      <c r="G24" s="43"/>
      <c r="H24" s="44"/>
      <c r="I24" s="43"/>
      <c r="J24" s="43"/>
      <c r="K24" s="39"/>
    </row>
    <row r="25" spans="1:16">
      <c r="A25" s="39"/>
      <c r="B25" s="47"/>
      <c r="C25" s="41"/>
      <c r="D25" s="41"/>
      <c r="E25" s="39"/>
      <c r="F25" s="42"/>
      <c r="G25" s="43"/>
      <c r="H25" s="44"/>
      <c r="I25" s="43"/>
      <c r="J25" s="43"/>
      <c r="K25" s="39"/>
    </row>
    <row r="26" spans="1:16">
      <c r="A26" s="39"/>
      <c r="B26" s="47"/>
      <c r="C26" s="41"/>
      <c r="D26" s="41"/>
      <c r="E26" s="39"/>
      <c r="F26" s="42"/>
      <c r="G26" s="43"/>
      <c r="H26" s="44"/>
      <c r="I26" s="43"/>
      <c r="J26" s="43"/>
      <c r="K26" s="39"/>
    </row>
    <row r="27" spans="1:16" s="57" customFormat="1">
      <c r="A27" s="51"/>
      <c r="B27" s="35" t="s">
        <v>34</v>
      </c>
      <c r="C27" s="51"/>
      <c r="D27" s="51"/>
      <c r="E27" s="51"/>
      <c r="F27" s="52"/>
      <c r="G27" s="53"/>
      <c r="H27" s="54"/>
      <c r="I27" s="53"/>
      <c r="J27" s="52">
        <f>SUM(J8:J26)</f>
        <v>1744601.5</v>
      </c>
      <c r="K27" s="55"/>
      <c r="L27" s="56"/>
    </row>
    <row r="28" spans="1:16" s="65" customFormat="1">
      <c r="A28" s="58"/>
      <c r="B28" s="59"/>
      <c r="C28" s="60" t="s">
        <v>17</v>
      </c>
      <c r="D28" s="61"/>
      <c r="E28" s="62"/>
      <c r="F28" s="63"/>
      <c r="G28" s="63"/>
      <c r="H28" s="64"/>
      <c r="I28" s="63"/>
      <c r="K28" s="66"/>
      <c r="L28" s="29"/>
    </row>
    <row r="29" spans="1:16" s="65" customFormat="1">
      <c r="A29" s="58"/>
      <c r="B29" s="59"/>
      <c r="C29" s="58" t="s">
        <v>32</v>
      </c>
      <c r="D29" s="61"/>
      <c r="E29" s="58"/>
      <c r="F29" s="63"/>
      <c r="G29" s="48"/>
      <c r="H29" s="64"/>
      <c r="I29" s="48"/>
      <c r="J29" s="63"/>
      <c r="K29" s="66"/>
      <c r="L29" s="29"/>
    </row>
    <row r="30" spans="1:16" s="65" customFormat="1">
      <c r="A30" s="58"/>
      <c r="B30" s="67"/>
      <c r="C30" s="68"/>
      <c r="D30" s="69"/>
      <c r="E30" s="70"/>
      <c r="F30" s="71"/>
      <c r="G30" s="71"/>
      <c r="H30" s="72"/>
      <c r="I30" s="73"/>
      <c r="J30" s="66"/>
      <c r="K30" s="74"/>
      <c r="L30" s="29"/>
    </row>
    <row r="31" spans="1:16" s="65" customFormat="1">
      <c r="A31" s="58"/>
      <c r="B31" s="75"/>
      <c r="C31" s="70"/>
      <c r="D31" s="63"/>
      <c r="E31" s="63"/>
      <c r="F31" s="63"/>
      <c r="G31" s="63"/>
      <c r="H31" s="64"/>
      <c r="I31" s="63"/>
      <c r="J31" s="63"/>
      <c r="K31" s="66"/>
      <c r="L31" s="29"/>
    </row>
    <row r="32" spans="1:16" s="65" customFormat="1">
      <c r="A32" s="58"/>
      <c r="B32" s="59"/>
      <c r="C32" s="60" t="s">
        <v>17</v>
      </c>
      <c r="D32" s="61"/>
      <c r="E32" s="62"/>
      <c r="F32" s="76"/>
      <c r="G32" s="48"/>
      <c r="H32" s="64"/>
      <c r="I32" s="48"/>
      <c r="J32" s="48"/>
      <c r="K32" s="66"/>
      <c r="L32" s="29"/>
    </row>
    <row r="33" spans="1:12" s="65" customFormat="1">
      <c r="A33" s="58"/>
      <c r="B33" s="59"/>
      <c r="C33" s="60" t="s">
        <v>17</v>
      </c>
      <c r="D33" s="77"/>
      <c r="E33" s="62"/>
      <c r="F33" s="76"/>
      <c r="G33" s="48"/>
      <c r="H33" s="64"/>
      <c r="I33" s="48"/>
      <c r="J33" s="48"/>
      <c r="K33" s="66"/>
      <c r="L33" s="29"/>
    </row>
    <row r="34" spans="1:12" s="65" customFormat="1">
      <c r="A34" s="58"/>
      <c r="B34" s="59"/>
      <c r="C34" s="60" t="s">
        <v>17</v>
      </c>
      <c r="D34" s="61"/>
      <c r="E34" s="62"/>
      <c r="F34" s="76"/>
      <c r="G34" s="48"/>
      <c r="H34" s="64"/>
      <c r="I34" s="48"/>
      <c r="J34" s="48"/>
      <c r="K34" s="66"/>
      <c r="L34" s="29"/>
    </row>
    <row r="35" spans="1:12" s="65" customFormat="1">
      <c r="A35" s="58"/>
      <c r="B35" s="75"/>
      <c r="C35" s="60" t="s">
        <v>17</v>
      </c>
      <c r="D35" s="61"/>
      <c r="E35" s="62"/>
      <c r="F35" s="76"/>
      <c r="G35" s="48"/>
      <c r="H35" s="64"/>
      <c r="I35" s="48"/>
      <c r="J35" s="48"/>
      <c r="K35" s="66"/>
      <c r="L35" s="29"/>
    </row>
    <row r="36" spans="1:12" s="65" customFormat="1">
      <c r="A36" s="58"/>
      <c r="B36" s="75"/>
      <c r="C36" s="70"/>
      <c r="D36" s="63"/>
      <c r="E36" s="63"/>
      <c r="F36" s="63"/>
      <c r="G36" s="63"/>
      <c r="H36" s="64"/>
      <c r="I36" s="63"/>
      <c r="J36" s="63"/>
      <c r="K36" s="66"/>
      <c r="L36" s="29"/>
    </row>
    <row r="37" spans="1:12" s="65" customFormat="1">
      <c r="A37" s="58"/>
      <c r="B37" s="59"/>
      <c r="C37" s="60" t="s">
        <v>17</v>
      </c>
      <c r="D37" s="61"/>
      <c r="E37" s="62"/>
      <c r="F37" s="76"/>
      <c r="G37" s="48"/>
      <c r="H37" s="64"/>
      <c r="I37" s="48"/>
      <c r="J37" s="48"/>
      <c r="K37" s="66"/>
      <c r="L37" s="29"/>
    </row>
    <row r="38" spans="1:12" s="65" customFormat="1">
      <c r="A38" s="58"/>
      <c r="B38" s="75"/>
      <c r="C38" s="70"/>
      <c r="D38" s="63"/>
      <c r="E38" s="63"/>
      <c r="F38" s="63"/>
      <c r="G38" s="63"/>
      <c r="H38" s="64"/>
      <c r="I38" s="63"/>
      <c r="J38" s="63"/>
      <c r="K38" s="66"/>
      <c r="L38" s="29"/>
    </row>
    <row r="39" spans="1:12" s="65" customFormat="1">
      <c r="A39" s="58"/>
      <c r="B39" s="59"/>
      <c r="C39" s="60" t="s">
        <v>17</v>
      </c>
      <c r="D39" s="61"/>
      <c r="E39" s="62"/>
      <c r="F39" s="76"/>
      <c r="G39" s="48"/>
      <c r="H39" s="64"/>
      <c r="I39" s="48"/>
      <c r="J39" s="48"/>
      <c r="K39" s="66"/>
      <c r="L39" s="29"/>
    </row>
    <row r="40" spans="1:12" s="65" customFormat="1">
      <c r="A40" s="58"/>
      <c r="B40" s="59"/>
      <c r="C40" s="60" t="s">
        <v>17</v>
      </c>
      <c r="D40" s="77"/>
      <c r="E40" s="62"/>
      <c r="F40" s="76"/>
      <c r="G40" s="48"/>
      <c r="H40" s="64"/>
      <c r="I40" s="48"/>
      <c r="J40" s="48"/>
      <c r="K40" s="66"/>
      <c r="L40" s="29"/>
    </row>
    <row r="41" spans="1:12" s="65" customFormat="1">
      <c r="A41" s="58"/>
      <c r="B41" s="59"/>
      <c r="C41" s="60" t="s">
        <v>17</v>
      </c>
      <c r="D41" s="61"/>
      <c r="E41" s="62"/>
      <c r="F41" s="76"/>
      <c r="G41" s="48"/>
      <c r="H41" s="64"/>
      <c r="I41" s="48"/>
      <c r="J41" s="48"/>
      <c r="K41" s="66"/>
      <c r="L41" s="29"/>
    </row>
    <row r="42" spans="1:12" s="65" customFormat="1">
      <c r="A42" s="58"/>
      <c r="B42" s="59"/>
      <c r="C42" s="60"/>
      <c r="D42" s="61"/>
      <c r="E42" s="62"/>
      <c r="F42" s="76"/>
      <c r="G42" s="48"/>
      <c r="H42" s="64"/>
      <c r="I42" s="48"/>
      <c r="J42" s="48"/>
      <c r="K42" s="66"/>
      <c r="L42" s="29"/>
    </row>
    <row r="43" spans="1:12" s="65" customFormat="1">
      <c r="A43" s="78"/>
      <c r="B43" s="79"/>
      <c r="C43" s="80"/>
      <c r="D43" s="81"/>
      <c r="E43" s="82"/>
      <c r="F43" s="82"/>
      <c r="G43" s="83"/>
      <c r="H43" s="84"/>
      <c r="I43" s="83"/>
      <c r="J43" s="85"/>
      <c r="K43" s="85"/>
      <c r="L43" s="29"/>
    </row>
    <row r="44" spans="1:12" s="65" customFormat="1">
      <c r="A44" s="86"/>
      <c r="B44" s="87"/>
      <c r="C44" s="88"/>
      <c r="D44" s="88"/>
      <c r="E44" s="89"/>
      <c r="F44" s="89"/>
      <c r="G44" s="89"/>
      <c r="H44" s="90"/>
      <c r="I44" s="89"/>
      <c r="J44" s="88"/>
      <c r="K44" s="88"/>
      <c r="L44" s="29"/>
    </row>
    <row r="45" spans="1:12">
      <c r="A45" s="51"/>
      <c r="B45" s="91"/>
      <c r="C45" s="92"/>
      <c r="D45" s="93"/>
      <c r="E45" s="93"/>
      <c r="F45" s="89"/>
      <c r="G45" s="93"/>
      <c r="H45" s="90"/>
      <c r="I45" s="93"/>
      <c r="J45" s="93"/>
      <c r="K45" s="94"/>
    </row>
    <row r="46" spans="1:12">
      <c r="A46" s="95"/>
      <c r="B46" s="96"/>
      <c r="C46" s="97"/>
      <c r="D46" s="98"/>
      <c r="E46" s="98"/>
      <c r="F46" s="83"/>
      <c r="G46" s="98"/>
      <c r="H46" s="84"/>
      <c r="I46" s="98"/>
      <c r="J46" s="98"/>
      <c r="K46" s="99"/>
    </row>
    <row r="47" spans="1:12">
      <c r="A47" s="39"/>
      <c r="B47" s="100"/>
      <c r="C47" s="39" t="s">
        <v>19</v>
      </c>
      <c r="D47" s="101"/>
      <c r="E47" s="102"/>
      <c r="F47" s="76"/>
      <c r="G47" s="48"/>
      <c r="H47" s="64"/>
      <c r="I47" s="48"/>
      <c r="J47" s="48"/>
      <c r="K47" s="103"/>
    </row>
    <row r="48" spans="1:12">
      <c r="A48" s="39"/>
      <c r="B48" s="100"/>
      <c r="C48" s="39" t="s">
        <v>19</v>
      </c>
      <c r="D48" s="61"/>
      <c r="E48" s="102"/>
      <c r="F48" s="76"/>
      <c r="G48" s="48"/>
      <c r="H48" s="64"/>
      <c r="I48" s="48"/>
      <c r="J48" s="48"/>
      <c r="K48" s="103"/>
    </row>
    <row r="49" spans="1:11">
      <c r="A49" s="39"/>
      <c r="B49" s="100"/>
      <c r="C49" s="39" t="s">
        <v>19</v>
      </c>
      <c r="D49" s="101"/>
      <c r="E49" s="102"/>
      <c r="F49" s="76"/>
      <c r="G49" s="48"/>
      <c r="H49" s="64"/>
      <c r="I49" s="48"/>
      <c r="J49" s="48"/>
      <c r="K49" s="104"/>
    </row>
    <row r="50" spans="1:11">
      <c r="A50" s="39"/>
      <c r="B50" s="100"/>
      <c r="C50" s="39" t="s">
        <v>19</v>
      </c>
      <c r="D50" s="101"/>
      <c r="E50" s="102"/>
      <c r="F50" s="76"/>
      <c r="G50" s="48"/>
      <c r="H50" s="64"/>
      <c r="I50" s="48"/>
      <c r="J50" s="48"/>
      <c r="K50" s="104"/>
    </row>
    <row r="51" spans="1:11">
      <c r="A51" s="39"/>
      <c r="B51" s="100"/>
      <c r="C51" s="39" t="s">
        <v>19</v>
      </c>
      <c r="D51" s="61"/>
      <c r="E51" s="102"/>
      <c r="F51" s="76"/>
      <c r="G51" s="48"/>
      <c r="H51" s="64"/>
      <c r="I51" s="48"/>
      <c r="J51" s="48"/>
      <c r="K51" s="103"/>
    </row>
    <row r="52" spans="1:11">
      <c r="A52" s="39"/>
      <c r="B52" s="100"/>
      <c r="C52" s="105" t="s">
        <v>32</v>
      </c>
      <c r="D52" s="101"/>
      <c r="E52" s="106"/>
      <c r="F52" s="76"/>
      <c r="G52" s="48"/>
      <c r="H52" s="64"/>
      <c r="I52" s="48"/>
      <c r="J52" s="48"/>
      <c r="K52" s="103"/>
    </row>
    <row r="53" spans="1:11">
      <c r="A53" s="39"/>
      <c r="B53" s="100"/>
      <c r="C53" s="105" t="s">
        <v>32</v>
      </c>
      <c r="D53" s="101"/>
      <c r="E53" s="106"/>
      <c r="F53" s="76"/>
      <c r="G53" s="48"/>
      <c r="H53" s="64"/>
      <c r="I53" s="48"/>
      <c r="J53" s="48"/>
      <c r="K53" s="103"/>
    </row>
    <row r="54" spans="1:11">
      <c r="A54" s="39"/>
      <c r="B54" s="107"/>
      <c r="C54" s="108"/>
      <c r="D54" s="101"/>
      <c r="E54" s="101"/>
      <c r="F54" s="63"/>
      <c r="G54" s="101"/>
      <c r="H54" s="64"/>
      <c r="I54" s="101"/>
      <c r="J54" s="101"/>
      <c r="K54" s="103"/>
    </row>
    <row r="55" spans="1:11">
      <c r="A55" s="39"/>
      <c r="B55" s="100"/>
      <c r="C55" s="39" t="s">
        <v>19</v>
      </c>
      <c r="D55" s="61"/>
      <c r="E55" s="102"/>
      <c r="F55" s="63"/>
      <c r="G55" s="61"/>
      <c r="H55" s="64"/>
      <c r="I55" s="48"/>
      <c r="J55" s="48"/>
      <c r="K55" s="103"/>
    </row>
    <row r="56" spans="1:11">
      <c r="A56" s="39"/>
      <c r="B56" s="100"/>
      <c r="C56" s="39" t="s">
        <v>19</v>
      </c>
      <c r="D56" s="61"/>
      <c r="E56" s="102"/>
      <c r="F56" s="76"/>
      <c r="G56" s="48"/>
      <c r="H56" s="64"/>
      <c r="I56" s="48"/>
      <c r="J56" s="48"/>
      <c r="K56" s="103"/>
    </row>
    <row r="57" spans="1:11">
      <c r="A57" s="39"/>
      <c r="B57" s="100"/>
      <c r="C57" s="39" t="s">
        <v>19</v>
      </c>
      <c r="D57" s="61"/>
      <c r="E57" s="102"/>
      <c r="F57" s="76"/>
      <c r="G57" s="48"/>
      <c r="H57" s="64"/>
      <c r="I57" s="48"/>
      <c r="J57" s="48"/>
      <c r="K57" s="103"/>
    </row>
    <row r="58" spans="1:11">
      <c r="A58" s="39"/>
      <c r="B58" s="100"/>
      <c r="C58" s="39" t="s">
        <v>19</v>
      </c>
      <c r="D58" s="101"/>
      <c r="E58" s="102"/>
      <c r="F58" s="76"/>
      <c r="G58" s="48"/>
      <c r="H58" s="64"/>
      <c r="I58" s="48"/>
      <c r="J58" s="48"/>
      <c r="K58" s="103"/>
    </row>
    <row r="59" spans="1:11">
      <c r="A59" s="39"/>
      <c r="B59" s="100"/>
      <c r="C59" s="39" t="s">
        <v>19</v>
      </c>
      <c r="D59" s="61"/>
      <c r="E59" s="102"/>
      <c r="F59" s="76"/>
      <c r="G59" s="48"/>
      <c r="H59" s="64"/>
      <c r="I59" s="48"/>
      <c r="J59" s="48"/>
      <c r="K59" s="103"/>
    </row>
    <row r="60" spans="1:11">
      <c r="A60" s="39"/>
      <c r="B60" s="100"/>
      <c r="C60" s="39" t="s">
        <v>19</v>
      </c>
      <c r="D60" s="61"/>
      <c r="E60" s="102"/>
      <c r="F60" s="76"/>
      <c r="G60" s="48"/>
      <c r="H60" s="64"/>
      <c r="I60" s="48"/>
      <c r="J60" s="48"/>
      <c r="K60" s="103"/>
    </row>
    <row r="61" spans="1:11">
      <c r="A61" s="39"/>
      <c r="B61" s="100"/>
      <c r="C61" s="105" t="s">
        <v>32</v>
      </c>
      <c r="D61" s="101"/>
      <c r="E61" s="106"/>
      <c r="F61" s="76"/>
      <c r="G61" s="48"/>
      <c r="H61" s="64"/>
      <c r="I61" s="48"/>
      <c r="J61" s="48"/>
      <c r="K61" s="103"/>
    </row>
    <row r="62" spans="1:11">
      <c r="A62" s="39"/>
      <c r="B62" s="100"/>
      <c r="C62" s="105" t="s">
        <v>32</v>
      </c>
      <c r="D62" s="101"/>
      <c r="E62" s="106"/>
      <c r="F62" s="76"/>
      <c r="G62" s="48"/>
      <c r="H62" s="64"/>
      <c r="I62" s="48"/>
      <c r="J62" s="48"/>
      <c r="K62" s="103"/>
    </row>
    <row r="63" spans="1:11">
      <c r="A63" s="39"/>
      <c r="B63" s="107"/>
      <c r="C63" s="105"/>
      <c r="D63" s="101"/>
      <c r="E63" s="101"/>
      <c r="F63" s="63"/>
      <c r="G63" s="101"/>
      <c r="H63" s="64"/>
      <c r="I63" s="101"/>
      <c r="J63" s="101"/>
      <c r="K63" s="103"/>
    </row>
    <row r="64" spans="1:11">
      <c r="A64" s="39"/>
      <c r="B64" s="100"/>
      <c r="C64" s="39" t="s">
        <v>19</v>
      </c>
      <c r="D64" s="61"/>
      <c r="E64" s="102"/>
      <c r="F64" s="76"/>
      <c r="G64" s="48"/>
      <c r="H64" s="64"/>
      <c r="I64" s="48"/>
      <c r="J64" s="48"/>
      <c r="K64" s="103"/>
    </row>
    <row r="65" spans="1:11">
      <c r="A65" s="39"/>
      <c r="B65" s="100"/>
      <c r="C65" s="39" t="s">
        <v>19</v>
      </c>
      <c r="D65" s="61"/>
      <c r="E65" s="102"/>
      <c r="F65" s="76"/>
      <c r="G65" s="48"/>
      <c r="H65" s="64"/>
      <c r="I65" s="48"/>
      <c r="J65" s="48"/>
      <c r="K65" s="103"/>
    </row>
    <row r="66" spans="1:11">
      <c r="A66" s="39"/>
      <c r="B66" s="100"/>
      <c r="C66" s="39" t="s">
        <v>19</v>
      </c>
      <c r="D66" s="101"/>
      <c r="E66" s="102"/>
      <c r="F66" s="76"/>
      <c r="G66" s="48"/>
      <c r="H66" s="64"/>
      <c r="I66" s="48"/>
      <c r="J66" s="48"/>
      <c r="K66" s="103"/>
    </row>
    <row r="67" spans="1:11">
      <c r="A67" s="39"/>
      <c r="B67" s="100"/>
      <c r="C67" s="39" t="s">
        <v>19</v>
      </c>
      <c r="D67" s="61"/>
      <c r="E67" s="102"/>
      <c r="F67" s="76"/>
      <c r="G67" s="48"/>
      <c r="H67" s="64"/>
      <c r="I67" s="48"/>
      <c r="J67" s="48"/>
      <c r="K67" s="103"/>
    </row>
    <row r="68" spans="1:11">
      <c r="A68" s="39"/>
      <c r="B68" s="100"/>
      <c r="C68" s="39" t="s">
        <v>19</v>
      </c>
      <c r="D68" s="61"/>
      <c r="E68" s="102"/>
      <c r="F68" s="76"/>
      <c r="G68" s="48"/>
      <c r="H68" s="64"/>
      <c r="I68" s="48"/>
      <c r="J68" s="48"/>
      <c r="K68" s="103"/>
    </row>
    <row r="69" spans="1:11">
      <c r="A69" s="39"/>
      <c r="B69" s="100"/>
      <c r="C69" s="39" t="s">
        <v>19</v>
      </c>
      <c r="D69" s="61"/>
      <c r="E69" s="102"/>
      <c r="F69" s="76"/>
      <c r="G69" s="48"/>
      <c r="H69" s="64"/>
      <c r="I69" s="48"/>
      <c r="J69" s="48"/>
      <c r="K69" s="103"/>
    </row>
    <row r="70" spans="1:11">
      <c r="A70" s="39"/>
      <c r="B70" s="100"/>
      <c r="C70" s="105" t="s">
        <v>32</v>
      </c>
      <c r="D70" s="101"/>
      <c r="E70" s="106"/>
      <c r="F70" s="76"/>
      <c r="G70" s="48"/>
      <c r="H70" s="64"/>
      <c r="I70" s="48"/>
      <c r="J70" s="48"/>
      <c r="K70" s="103"/>
    </row>
    <row r="71" spans="1:11">
      <c r="A71" s="39"/>
      <c r="B71" s="100"/>
      <c r="C71" s="105" t="s">
        <v>32</v>
      </c>
      <c r="D71" s="101"/>
      <c r="E71" s="106"/>
      <c r="F71" s="76"/>
      <c r="G71" s="48"/>
      <c r="H71" s="64"/>
      <c r="I71" s="48"/>
      <c r="J71" s="48"/>
      <c r="K71" s="103"/>
    </row>
    <row r="72" spans="1:11">
      <c r="A72" s="39"/>
      <c r="B72" s="107"/>
      <c r="C72" s="39"/>
      <c r="D72" s="101"/>
      <c r="E72" s="101"/>
      <c r="F72" s="63"/>
      <c r="G72" s="101"/>
      <c r="H72" s="64"/>
      <c r="I72" s="101"/>
      <c r="J72" s="101"/>
      <c r="K72" s="103"/>
    </row>
    <row r="73" spans="1:11">
      <c r="A73" s="39"/>
      <c r="B73" s="100"/>
      <c r="C73" s="39" t="s">
        <v>17</v>
      </c>
      <c r="D73" s="101"/>
      <c r="E73" s="106"/>
      <c r="F73" s="76"/>
      <c r="G73" s="48"/>
      <c r="H73" s="64"/>
      <c r="I73" s="48"/>
      <c r="J73" s="48"/>
      <c r="K73" s="103"/>
    </row>
    <row r="74" spans="1:11">
      <c r="A74" s="39"/>
      <c r="B74" s="100"/>
      <c r="C74" s="39" t="s">
        <v>17</v>
      </c>
      <c r="D74" s="61"/>
      <c r="E74" s="106"/>
      <c r="F74" s="76"/>
      <c r="G74" s="48"/>
      <c r="H74" s="64"/>
      <c r="I74" s="48"/>
      <c r="J74" s="48"/>
      <c r="K74" s="103"/>
    </row>
    <row r="75" spans="1:11">
      <c r="A75" s="39"/>
      <c r="B75" s="100"/>
      <c r="C75" s="39" t="s">
        <v>17</v>
      </c>
      <c r="D75" s="61"/>
      <c r="E75" s="106"/>
      <c r="F75" s="76"/>
      <c r="G75" s="48"/>
      <c r="H75" s="64"/>
      <c r="I75" s="48"/>
      <c r="J75" s="48"/>
      <c r="K75" s="103"/>
    </row>
    <row r="76" spans="1:11">
      <c r="A76" s="39"/>
      <c r="B76" s="107"/>
      <c r="C76" s="39"/>
      <c r="D76" s="101"/>
      <c r="E76" s="101"/>
      <c r="F76" s="63"/>
      <c r="G76" s="101"/>
      <c r="H76" s="64"/>
      <c r="I76" s="101"/>
      <c r="J76" s="101"/>
      <c r="K76" s="103"/>
    </row>
    <row r="77" spans="1:11">
      <c r="A77" s="41"/>
      <c r="B77" s="100"/>
      <c r="C77" s="39" t="s">
        <v>17</v>
      </c>
      <c r="D77" s="61"/>
      <c r="E77" s="106"/>
      <c r="F77" s="76"/>
      <c r="G77" s="48"/>
      <c r="H77" s="64"/>
      <c r="I77" s="48"/>
      <c r="J77" s="48"/>
      <c r="K77" s="103"/>
    </row>
    <row r="78" spans="1:11">
      <c r="A78" s="41"/>
      <c r="B78" s="100"/>
      <c r="C78" s="39" t="s">
        <v>17</v>
      </c>
      <c r="D78" s="61"/>
      <c r="E78" s="106"/>
      <c r="F78" s="76"/>
      <c r="G78" s="48"/>
      <c r="H78" s="64"/>
      <c r="I78" s="48"/>
      <c r="J78" s="48"/>
      <c r="K78" s="103"/>
    </row>
    <row r="79" spans="1:11">
      <c r="A79" s="41"/>
      <c r="B79" s="100"/>
      <c r="C79" s="39" t="s">
        <v>17</v>
      </c>
      <c r="D79" s="61"/>
      <c r="E79" s="106"/>
      <c r="F79" s="76"/>
      <c r="G79" s="48"/>
      <c r="H79" s="64"/>
      <c r="I79" s="48"/>
      <c r="J79" s="48"/>
      <c r="K79" s="103"/>
    </row>
    <row r="80" spans="1:11">
      <c r="A80" s="41"/>
      <c r="B80" s="100"/>
      <c r="C80" s="39" t="s">
        <v>17</v>
      </c>
      <c r="D80" s="61"/>
      <c r="E80" s="106"/>
      <c r="F80" s="76"/>
      <c r="G80" s="48"/>
      <c r="H80" s="64"/>
      <c r="I80" s="48"/>
      <c r="J80" s="48"/>
      <c r="K80" s="103"/>
    </row>
    <row r="81" spans="1:11">
      <c r="A81" s="39"/>
      <c r="B81" s="107"/>
      <c r="C81" s="105"/>
      <c r="D81" s="101"/>
      <c r="E81" s="101"/>
      <c r="F81" s="63"/>
      <c r="G81" s="101"/>
      <c r="H81" s="64"/>
      <c r="I81" s="101"/>
      <c r="J81" s="101"/>
      <c r="K81" s="103"/>
    </row>
    <row r="82" spans="1:11">
      <c r="A82" s="39"/>
      <c r="B82" s="100"/>
      <c r="C82" s="39" t="s">
        <v>17</v>
      </c>
      <c r="D82" s="61"/>
      <c r="E82" s="106"/>
      <c r="F82" s="76"/>
      <c r="G82" s="48"/>
      <c r="H82" s="64"/>
      <c r="I82" s="48"/>
      <c r="J82" s="48"/>
      <c r="K82" s="103"/>
    </row>
    <row r="83" spans="1:11">
      <c r="A83" s="41"/>
      <c r="B83" s="100"/>
      <c r="C83" s="39" t="s">
        <v>17</v>
      </c>
      <c r="D83" s="61"/>
      <c r="E83" s="106"/>
      <c r="F83" s="76"/>
      <c r="G83" s="48"/>
      <c r="H83" s="64"/>
      <c r="I83" s="48"/>
      <c r="J83" s="48"/>
      <c r="K83" s="103"/>
    </row>
    <row r="84" spans="1:11">
      <c r="A84" s="41"/>
      <c r="B84" s="100"/>
      <c r="C84" s="39" t="s">
        <v>17</v>
      </c>
      <c r="D84" s="61"/>
      <c r="E84" s="106"/>
      <c r="F84" s="76"/>
      <c r="G84" s="48"/>
      <c r="H84" s="64"/>
      <c r="I84" s="48"/>
      <c r="J84" s="48"/>
      <c r="K84" s="103"/>
    </row>
    <row r="85" spans="1:11">
      <c r="A85" s="41"/>
      <c r="B85" s="100"/>
      <c r="C85" s="39" t="s">
        <v>17</v>
      </c>
      <c r="D85" s="61"/>
      <c r="E85" s="106"/>
      <c r="F85" s="76"/>
      <c r="G85" s="48"/>
      <c r="H85" s="64"/>
      <c r="I85" s="48"/>
      <c r="J85" s="48"/>
      <c r="K85" s="103"/>
    </row>
    <row r="86" spans="1:11">
      <c r="A86" s="41"/>
      <c r="B86" s="100"/>
      <c r="C86" s="39" t="s">
        <v>17</v>
      </c>
      <c r="D86" s="61"/>
      <c r="E86" s="106"/>
      <c r="F86" s="76"/>
      <c r="G86" s="48"/>
      <c r="H86" s="64"/>
      <c r="I86" s="48"/>
      <c r="J86" s="48"/>
      <c r="K86" s="103"/>
    </row>
    <row r="87" spans="1:11">
      <c r="A87" s="39"/>
      <c r="B87" s="107"/>
      <c r="C87" s="105"/>
      <c r="D87" s="101"/>
      <c r="E87" s="101"/>
      <c r="F87" s="63"/>
      <c r="G87" s="101"/>
      <c r="H87" s="64"/>
      <c r="I87" s="101"/>
      <c r="J87" s="101"/>
      <c r="K87" s="103"/>
    </row>
    <row r="88" spans="1:11">
      <c r="A88" s="41"/>
      <c r="B88" s="100"/>
      <c r="C88" s="39" t="s">
        <v>17</v>
      </c>
      <c r="D88" s="61"/>
      <c r="E88" s="106"/>
      <c r="F88" s="76"/>
      <c r="G88" s="48"/>
      <c r="H88" s="64"/>
      <c r="I88" s="48"/>
      <c r="J88" s="48"/>
      <c r="K88" s="103"/>
    </row>
    <row r="89" spans="1:11">
      <c r="A89" s="41"/>
      <c r="B89" s="100"/>
      <c r="C89" s="39" t="s">
        <v>17</v>
      </c>
      <c r="D89" s="101"/>
      <c r="E89" s="106"/>
      <c r="F89" s="63"/>
      <c r="G89" s="61"/>
      <c r="H89" s="64"/>
      <c r="I89" s="61"/>
      <c r="J89" s="61"/>
      <c r="K89" s="103"/>
    </row>
    <row r="90" spans="1:11">
      <c r="A90" s="41"/>
      <c r="B90" s="100"/>
      <c r="C90" s="39" t="s">
        <v>17</v>
      </c>
      <c r="D90" s="101"/>
      <c r="E90" s="106"/>
      <c r="F90" s="76"/>
      <c r="G90" s="48"/>
      <c r="H90" s="64"/>
      <c r="I90" s="48"/>
      <c r="J90" s="48"/>
      <c r="K90" s="103"/>
    </row>
    <row r="91" spans="1:11">
      <c r="A91" s="41"/>
      <c r="B91" s="100"/>
      <c r="C91" s="39" t="s">
        <v>17</v>
      </c>
      <c r="D91" s="101"/>
      <c r="E91" s="106"/>
      <c r="F91" s="76"/>
      <c r="G91" s="48"/>
      <c r="H91" s="64"/>
      <c r="I91" s="48"/>
      <c r="J91" s="48"/>
      <c r="K91" s="103"/>
    </row>
    <row r="92" spans="1:11">
      <c r="A92" s="39"/>
      <c r="B92" s="100"/>
      <c r="C92" s="39" t="s">
        <v>17</v>
      </c>
      <c r="D92" s="61"/>
      <c r="E92" s="106"/>
      <c r="F92" s="63"/>
      <c r="G92" s="48"/>
      <c r="H92" s="64"/>
      <c r="I92" s="48"/>
      <c r="J92" s="48"/>
      <c r="K92" s="103"/>
    </row>
    <row r="93" spans="1:11">
      <c r="A93" s="39"/>
      <c r="B93" s="107"/>
      <c r="C93" s="108"/>
      <c r="D93" s="101"/>
      <c r="E93" s="101"/>
      <c r="F93" s="63"/>
      <c r="G93" s="101"/>
      <c r="H93" s="64"/>
      <c r="I93" s="101"/>
      <c r="J93" s="101"/>
      <c r="K93" s="103"/>
    </row>
    <row r="94" spans="1:11">
      <c r="A94" s="39"/>
      <c r="B94" s="107"/>
      <c r="C94" s="39" t="s">
        <v>17</v>
      </c>
      <c r="D94" s="101"/>
      <c r="E94" s="106"/>
      <c r="F94" s="76"/>
      <c r="G94" s="48"/>
      <c r="H94" s="64"/>
      <c r="I94" s="48"/>
      <c r="J94" s="48"/>
      <c r="K94" s="103"/>
    </row>
    <row r="95" spans="1:11">
      <c r="A95" s="39"/>
      <c r="B95" s="107"/>
      <c r="C95" s="39" t="s">
        <v>17</v>
      </c>
      <c r="D95" s="61"/>
      <c r="E95" s="106"/>
      <c r="F95" s="76"/>
      <c r="G95" s="48"/>
      <c r="H95" s="64"/>
      <c r="I95" s="48"/>
      <c r="J95" s="48"/>
      <c r="K95" s="103"/>
    </row>
    <row r="96" spans="1:11">
      <c r="A96" s="39"/>
      <c r="B96" s="100"/>
      <c r="C96" s="39" t="s">
        <v>17</v>
      </c>
      <c r="D96" s="61"/>
      <c r="E96" s="106"/>
      <c r="F96" s="76"/>
      <c r="G96" s="48"/>
      <c r="H96" s="64"/>
      <c r="I96" s="48"/>
      <c r="J96" s="48"/>
      <c r="K96" s="103"/>
    </row>
    <row r="97" spans="1:11">
      <c r="A97" s="109"/>
      <c r="B97" s="100"/>
      <c r="C97" s="105" t="s">
        <v>32</v>
      </c>
      <c r="D97" s="101"/>
      <c r="E97" s="106"/>
      <c r="F97" s="76"/>
      <c r="G97" s="48"/>
      <c r="H97" s="64"/>
      <c r="I97" s="48"/>
      <c r="J97" s="48"/>
      <c r="K97" s="103"/>
    </row>
    <row r="98" spans="1:11">
      <c r="A98" s="110"/>
      <c r="B98" s="111"/>
      <c r="C98" s="112"/>
      <c r="D98" s="98"/>
      <c r="E98" s="113"/>
      <c r="F98" s="82"/>
      <c r="G98" s="114"/>
      <c r="H98" s="84"/>
      <c r="I98" s="114"/>
      <c r="J98" s="114"/>
      <c r="K98" s="99"/>
    </row>
    <row r="99" spans="1:11">
      <c r="A99" s="115"/>
      <c r="B99" s="51"/>
      <c r="C99" s="116"/>
      <c r="D99" s="93"/>
      <c r="E99" s="93"/>
      <c r="F99" s="89"/>
      <c r="G99" s="93"/>
      <c r="H99" s="90"/>
      <c r="I99" s="93"/>
      <c r="J99" s="117"/>
      <c r="K99" s="118"/>
    </row>
    <row r="100" spans="1:11">
      <c r="A100" s="34"/>
      <c r="B100" s="119"/>
      <c r="C100" s="120"/>
      <c r="D100" s="121"/>
      <c r="E100" s="121"/>
      <c r="F100" s="122"/>
      <c r="G100" s="121"/>
      <c r="H100" s="123"/>
      <c r="I100" s="121"/>
      <c r="J100" s="121"/>
      <c r="K100" s="124"/>
    </row>
    <row r="101" spans="1:11">
      <c r="A101" s="95"/>
      <c r="B101" s="96"/>
      <c r="C101" s="97"/>
      <c r="D101" s="98"/>
      <c r="E101" s="98"/>
      <c r="F101" s="83"/>
      <c r="G101" s="98"/>
      <c r="H101" s="84"/>
      <c r="I101" s="98"/>
      <c r="J101" s="125"/>
      <c r="K101" s="126"/>
    </row>
    <row r="102" spans="1:11">
      <c r="A102" s="39"/>
      <c r="B102" s="100"/>
      <c r="C102" s="39" t="s">
        <v>19</v>
      </c>
      <c r="D102" s="61"/>
      <c r="E102" s="106"/>
      <c r="F102" s="63"/>
      <c r="G102" s="48"/>
      <c r="H102" s="64"/>
      <c r="I102" s="48"/>
      <c r="J102" s="48"/>
      <c r="K102" s="127"/>
    </row>
    <row r="103" spans="1:11">
      <c r="A103" s="39"/>
      <c r="B103" s="100"/>
      <c r="C103" s="39" t="s">
        <v>19</v>
      </c>
      <c r="D103" s="61"/>
      <c r="E103" s="106"/>
      <c r="F103" s="63"/>
      <c r="G103" s="48"/>
      <c r="H103" s="64"/>
      <c r="I103" s="48"/>
      <c r="J103" s="48"/>
      <c r="K103" s="127"/>
    </row>
    <row r="104" spans="1:11">
      <c r="A104" s="39"/>
      <c r="B104" s="100"/>
      <c r="C104" s="39" t="s">
        <v>19</v>
      </c>
      <c r="D104" s="61"/>
      <c r="E104" s="106"/>
      <c r="F104" s="63"/>
      <c r="G104" s="48"/>
      <c r="H104" s="64"/>
      <c r="I104" s="48"/>
      <c r="J104" s="48"/>
      <c r="K104" s="127"/>
    </row>
    <row r="105" spans="1:11">
      <c r="A105" s="39"/>
      <c r="B105" s="100"/>
      <c r="C105" s="39" t="s">
        <v>19</v>
      </c>
      <c r="D105" s="61"/>
      <c r="E105" s="106"/>
      <c r="F105" s="63"/>
      <c r="G105" s="48"/>
      <c r="H105" s="64"/>
      <c r="I105" s="48"/>
      <c r="J105" s="48"/>
      <c r="K105" s="128"/>
    </row>
    <row r="106" spans="1:11">
      <c r="A106" s="39"/>
      <c r="B106" s="100"/>
      <c r="C106" s="39" t="s">
        <v>19</v>
      </c>
      <c r="D106" s="61"/>
      <c r="E106" s="106"/>
      <c r="F106" s="63"/>
      <c r="G106" s="42"/>
      <c r="H106" s="64"/>
      <c r="I106" s="48"/>
      <c r="J106" s="48"/>
      <c r="K106" s="128"/>
    </row>
    <row r="107" spans="1:11">
      <c r="A107" s="39"/>
      <c r="B107" s="100"/>
      <c r="C107" s="105" t="s">
        <v>32</v>
      </c>
      <c r="D107" s="61"/>
      <c r="E107" s="106"/>
      <c r="F107" s="63"/>
      <c r="G107" s="48"/>
      <c r="H107" s="64"/>
      <c r="I107" s="48"/>
      <c r="J107" s="48"/>
      <c r="K107" s="128"/>
    </row>
    <row r="108" spans="1:11">
      <c r="A108" s="39"/>
      <c r="B108" s="100"/>
      <c r="C108" s="105" t="s">
        <v>32</v>
      </c>
      <c r="D108" s="61"/>
      <c r="E108" s="106"/>
      <c r="F108" s="63"/>
      <c r="G108" s="48"/>
      <c r="H108" s="64"/>
      <c r="I108" s="48"/>
      <c r="J108" s="48"/>
      <c r="K108" s="128"/>
    </row>
    <row r="109" spans="1:11">
      <c r="A109" s="39"/>
      <c r="B109" s="107"/>
      <c r="C109" s="39" t="s">
        <v>17</v>
      </c>
      <c r="D109" s="101"/>
      <c r="E109" s="106"/>
      <c r="F109" s="76"/>
      <c r="G109" s="48"/>
      <c r="H109" s="64"/>
      <c r="I109" s="48"/>
      <c r="J109" s="48"/>
      <c r="K109" s="127"/>
    </row>
    <row r="110" spans="1:11">
      <c r="A110" s="39"/>
      <c r="B110" s="100"/>
      <c r="C110" s="105" t="s">
        <v>32</v>
      </c>
      <c r="D110" s="101"/>
      <c r="E110" s="39"/>
      <c r="F110" s="76"/>
      <c r="G110" s="48"/>
      <c r="H110" s="44"/>
      <c r="I110" s="48"/>
      <c r="J110" s="48"/>
      <c r="K110" s="128"/>
    </row>
    <row r="111" spans="1:11">
      <c r="A111" s="39"/>
      <c r="B111" s="100"/>
      <c r="C111" s="105" t="s">
        <v>32</v>
      </c>
      <c r="D111" s="101"/>
      <c r="E111" s="39"/>
      <c r="F111" s="76"/>
      <c r="G111" s="48"/>
      <c r="H111" s="44"/>
      <c r="I111" s="48"/>
      <c r="J111" s="48"/>
      <c r="K111" s="128"/>
    </row>
    <row r="112" spans="1:11">
      <c r="A112" s="39"/>
      <c r="B112" s="100"/>
      <c r="C112" s="105" t="s">
        <v>32</v>
      </c>
      <c r="D112" s="30"/>
      <c r="E112" s="39"/>
      <c r="F112" s="76"/>
      <c r="G112" s="48"/>
      <c r="H112" s="64"/>
      <c r="I112" s="48"/>
      <c r="J112" s="48"/>
      <c r="K112" s="128"/>
    </row>
    <row r="113" spans="1:11">
      <c r="A113" s="95"/>
      <c r="B113" s="111"/>
      <c r="C113" s="112"/>
      <c r="D113" s="30"/>
      <c r="E113" s="95"/>
      <c r="F113" s="82"/>
      <c r="G113" s="114"/>
      <c r="H113" s="84"/>
      <c r="I113" s="114"/>
      <c r="J113" s="114"/>
      <c r="K113" s="129"/>
    </row>
    <row r="114" spans="1:11">
      <c r="A114" s="115"/>
      <c r="B114" s="51"/>
      <c r="C114" s="94"/>
      <c r="D114" s="93"/>
      <c r="E114" s="130"/>
      <c r="F114" s="131"/>
      <c r="G114" s="130"/>
      <c r="H114" s="132"/>
      <c r="I114" s="130"/>
      <c r="J114" s="133"/>
      <c r="K114" s="134"/>
    </row>
    <row r="115" spans="1:11">
      <c r="A115" s="135"/>
      <c r="B115" s="136"/>
      <c r="C115" s="137"/>
      <c r="D115" s="137"/>
      <c r="E115" s="138"/>
      <c r="F115" s="139"/>
      <c r="G115" s="140"/>
      <c r="H115" s="141"/>
      <c r="I115" s="142"/>
      <c r="J115" s="143"/>
      <c r="K115" s="144"/>
    </row>
    <row r="116" spans="1:11">
      <c r="A116" s="39"/>
      <c r="B116" s="107"/>
      <c r="C116" s="39"/>
      <c r="D116" s="6"/>
      <c r="E116" s="39"/>
      <c r="F116" s="145"/>
      <c r="G116" s="48"/>
      <c r="H116" s="5"/>
      <c r="I116" s="146"/>
      <c r="J116" s="43"/>
      <c r="K116" s="147"/>
    </row>
    <row r="117" spans="1:11">
      <c r="A117" s="39"/>
      <c r="B117" s="107"/>
      <c r="C117" s="39"/>
      <c r="D117" s="6"/>
      <c r="E117" s="39"/>
      <c r="F117" s="145"/>
      <c r="G117" s="48"/>
      <c r="H117" s="5"/>
      <c r="I117" s="146"/>
      <c r="J117" s="43"/>
      <c r="K117" s="147"/>
    </row>
    <row r="118" spans="1:11">
      <c r="A118" s="39"/>
      <c r="B118" s="107"/>
      <c r="C118" s="39"/>
      <c r="D118" s="6"/>
      <c r="E118" s="39"/>
      <c r="F118" s="145"/>
      <c r="G118" s="48"/>
      <c r="H118" s="5"/>
      <c r="I118" s="146"/>
      <c r="J118" s="43"/>
      <c r="K118" s="147"/>
    </row>
    <row r="119" spans="1:11">
      <c r="A119" s="39"/>
      <c r="B119" s="107"/>
      <c r="C119" s="39"/>
      <c r="D119" s="6"/>
      <c r="E119" s="39"/>
      <c r="F119" s="145"/>
      <c r="G119" s="48"/>
      <c r="H119" s="5"/>
      <c r="I119" s="146"/>
      <c r="J119" s="43"/>
      <c r="K119" s="147"/>
    </row>
    <row r="120" spans="1:11">
      <c r="A120" s="39"/>
      <c r="B120" s="107"/>
      <c r="C120" s="39"/>
      <c r="D120" s="6"/>
      <c r="E120" s="39"/>
      <c r="F120" s="145"/>
      <c r="G120" s="48"/>
      <c r="H120" s="5"/>
      <c r="I120" s="146"/>
      <c r="J120" s="43"/>
      <c r="K120" s="147"/>
    </row>
    <row r="121" spans="1:11">
      <c r="A121" s="39"/>
      <c r="B121" s="148"/>
      <c r="C121" s="39"/>
      <c r="D121" s="39"/>
      <c r="E121" s="149"/>
      <c r="F121" s="42"/>
      <c r="G121" s="149"/>
      <c r="H121" s="44"/>
      <c r="I121" s="146"/>
      <c r="J121" s="150"/>
      <c r="K121" s="147"/>
    </row>
    <row r="122" spans="1:11">
      <c r="A122" s="39"/>
      <c r="B122" s="107"/>
      <c r="C122" s="39"/>
      <c r="D122" s="39"/>
      <c r="E122" s="149"/>
      <c r="F122" s="42"/>
      <c r="G122" s="149"/>
      <c r="H122" s="44"/>
      <c r="I122" s="146"/>
      <c r="J122" s="150"/>
      <c r="K122" s="147"/>
    </row>
    <row r="123" spans="1:11">
      <c r="A123" s="95"/>
      <c r="B123" s="151"/>
      <c r="C123" s="152"/>
      <c r="D123" s="95"/>
      <c r="E123" s="153"/>
      <c r="F123" s="154"/>
      <c r="G123" s="153"/>
      <c r="H123" s="155"/>
      <c r="I123" s="156"/>
      <c r="J123" s="157"/>
      <c r="K123" s="158"/>
    </row>
    <row r="124" spans="1:11">
      <c r="A124" s="51"/>
      <c r="B124" s="159"/>
      <c r="C124" s="160"/>
      <c r="D124" s="94"/>
      <c r="E124" s="94"/>
      <c r="F124" s="161"/>
      <c r="G124" s="162"/>
      <c r="H124" s="163"/>
      <c r="I124" s="162"/>
      <c r="J124" s="164"/>
      <c r="K124" s="165"/>
    </row>
    <row r="125" spans="1:11">
      <c r="A125" s="135"/>
      <c r="B125" s="166"/>
      <c r="C125" s="166"/>
      <c r="D125" s="167"/>
      <c r="E125" s="166"/>
      <c r="F125" s="168"/>
      <c r="G125" s="169"/>
      <c r="H125" s="170"/>
      <c r="I125" s="138"/>
      <c r="J125" s="143"/>
      <c r="K125" s="144"/>
    </row>
    <row r="126" spans="1:11">
      <c r="A126" s="39"/>
      <c r="B126" s="107"/>
      <c r="C126" s="39"/>
      <c r="D126" s="6"/>
      <c r="E126" s="39"/>
      <c r="F126" s="76"/>
      <c r="G126" s="48"/>
      <c r="H126" s="44"/>
      <c r="I126" s="48"/>
      <c r="J126" s="48"/>
      <c r="K126" s="147"/>
    </row>
    <row r="127" spans="1:11">
      <c r="A127" s="39"/>
      <c r="B127" s="107"/>
      <c r="C127" s="39"/>
      <c r="D127" s="6"/>
      <c r="E127" s="149"/>
      <c r="F127" s="145"/>
      <c r="G127" s="149"/>
      <c r="H127" s="5"/>
      <c r="I127" s="146"/>
      <c r="J127" s="150"/>
      <c r="K127" s="147"/>
    </row>
    <row r="128" spans="1:11">
      <c r="A128" s="135"/>
      <c r="B128" s="171"/>
      <c r="C128" s="172"/>
      <c r="D128" s="173"/>
      <c r="E128" s="173"/>
      <c r="F128" s="174"/>
      <c r="G128" s="175"/>
      <c r="H128" s="176"/>
      <c r="I128" s="177"/>
      <c r="J128" s="143"/>
      <c r="K128" s="178"/>
    </row>
    <row r="129" spans="1:12" s="183" customFormat="1">
      <c r="A129" s="51"/>
      <c r="B129" s="35"/>
      <c r="C129" s="179"/>
      <c r="D129" s="51"/>
      <c r="E129" s="180"/>
      <c r="F129" s="133"/>
      <c r="G129" s="164"/>
      <c r="H129" s="181"/>
      <c r="I129" s="164"/>
      <c r="J129" s="164"/>
      <c r="K129" s="165"/>
      <c r="L129" s="182"/>
    </row>
    <row r="130" spans="1:12">
      <c r="A130" s="51"/>
      <c r="B130" s="184"/>
      <c r="C130" s="185"/>
      <c r="D130" s="51"/>
      <c r="E130" s="51"/>
      <c r="F130" s="186"/>
      <c r="G130" s="187"/>
      <c r="H130" s="188"/>
      <c r="I130" s="180"/>
      <c r="J130" s="94"/>
      <c r="K130" s="189"/>
    </row>
    <row r="131" spans="1:12">
      <c r="A131" s="190"/>
      <c r="B131" s="191"/>
      <c r="C131" s="192"/>
      <c r="D131" s="193"/>
      <c r="E131" s="193"/>
      <c r="F131" s="194"/>
      <c r="G131" s="140"/>
      <c r="H131" s="195"/>
      <c r="I131" s="196"/>
      <c r="J131" s="197"/>
      <c r="K131" s="198"/>
    </row>
    <row r="132" spans="1:12">
      <c r="A132" s="4"/>
      <c r="B132" s="199"/>
      <c r="C132" s="200"/>
      <c r="D132" s="61"/>
      <c r="E132" s="4"/>
      <c r="F132" s="76"/>
      <c r="G132" s="48"/>
      <c r="H132" s="44"/>
      <c r="I132" s="48"/>
      <c r="J132" s="48"/>
      <c r="K132" s="147"/>
    </row>
    <row r="133" spans="1:12">
      <c r="A133" s="4"/>
      <c r="B133" s="199"/>
      <c r="C133" s="200"/>
      <c r="D133" s="61"/>
      <c r="E133" s="4"/>
      <c r="F133" s="76"/>
      <c r="G133" s="48"/>
      <c r="H133" s="44"/>
      <c r="I133" s="48"/>
      <c r="J133" s="48"/>
      <c r="K133" s="147"/>
    </row>
    <row r="134" spans="1:12">
      <c r="A134" s="4"/>
      <c r="B134" s="199"/>
      <c r="C134" s="201"/>
      <c r="D134" s="61"/>
      <c r="E134" s="4"/>
      <c r="F134" s="76"/>
      <c r="G134" s="48"/>
      <c r="H134" s="44"/>
      <c r="I134" s="48"/>
      <c r="J134" s="48"/>
      <c r="K134" s="147"/>
    </row>
    <row r="135" spans="1:12">
      <c r="A135" s="4"/>
      <c r="B135" s="199"/>
      <c r="C135" s="201"/>
      <c r="D135" s="61"/>
      <c r="E135" s="4"/>
      <c r="F135" s="76"/>
      <c r="G135" s="48"/>
      <c r="H135" s="44"/>
      <c r="I135" s="48"/>
      <c r="J135" s="48"/>
      <c r="K135" s="147"/>
    </row>
    <row r="136" spans="1:12">
      <c r="A136" s="4"/>
      <c r="B136" s="199"/>
      <c r="C136" s="201"/>
      <c r="D136" s="61"/>
      <c r="E136" s="4"/>
      <c r="F136" s="76"/>
      <c r="G136" s="48"/>
      <c r="H136" s="44"/>
      <c r="I136" s="48"/>
      <c r="J136" s="48"/>
      <c r="K136" s="147"/>
    </row>
    <row r="137" spans="1:12">
      <c r="A137" s="4"/>
      <c r="B137" s="199"/>
      <c r="C137" s="202"/>
      <c r="D137" s="61"/>
      <c r="E137" s="4"/>
      <c r="F137" s="76"/>
      <c r="G137" s="48"/>
      <c r="H137" s="44"/>
      <c r="I137" s="48"/>
      <c r="J137" s="48"/>
      <c r="K137" s="147"/>
    </row>
    <row r="138" spans="1:12">
      <c r="A138" s="4"/>
      <c r="B138" s="203"/>
      <c r="C138" s="202"/>
      <c r="D138" s="61"/>
      <c r="E138" s="4"/>
      <c r="F138" s="76"/>
      <c r="G138" s="48"/>
      <c r="H138" s="44"/>
      <c r="I138" s="48"/>
      <c r="J138" s="48"/>
      <c r="K138" s="147"/>
    </row>
    <row r="139" spans="1:12">
      <c r="A139" s="4"/>
      <c r="B139" s="199"/>
      <c r="C139" s="202"/>
      <c r="D139" s="61"/>
      <c r="E139" s="4"/>
      <c r="F139" s="76"/>
      <c r="G139" s="48"/>
      <c r="H139" s="44"/>
      <c r="I139" s="48"/>
      <c r="J139" s="48"/>
      <c r="K139" s="147"/>
    </row>
    <row r="140" spans="1:12">
      <c r="A140" s="4"/>
      <c r="B140" s="199"/>
      <c r="C140" s="202"/>
      <c r="D140" s="61"/>
      <c r="E140" s="4"/>
      <c r="F140" s="76"/>
      <c r="G140" s="48"/>
      <c r="H140" s="44"/>
      <c r="I140" s="48"/>
      <c r="J140" s="48"/>
      <c r="K140" s="147"/>
    </row>
    <row r="141" spans="1:12">
      <c r="A141" s="4"/>
      <c r="B141" s="199"/>
      <c r="C141" s="202"/>
      <c r="D141" s="61"/>
      <c r="E141" s="4"/>
      <c r="F141" s="76"/>
      <c r="G141" s="48"/>
      <c r="H141" s="44"/>
      <c r="I141" s="48"/>
      <c r="J141" s="48"/>
      <c r="K141" s="147"/>
    </row>
    <row r="142" spans="1:12">
      <c r="A142" s="4"/>
      <c r="B142" s="199"/>
      <c r="C142" s="202"/>
      <c r="D142" s="76"/>
      <c r="E142" s="4"/>
      <c r="F142" s="71"/>
      <c r="G142" s="48"/>
      <c r="H142" s="44"/>
      <c r="I142" s="48"/>
      <c r="J142" s="48"/>
      <c r="K142" s="147"/>
    </row>
    <row r="143" spans="1:12">
      <c r="A143" s="4"/>
      <c r="B143" s="199"/>
      <c r="C143" s="202"/>
      <c r="D143" s="76"/>
      <c r="E143" s="4"/>
      <c r="F143" s="71"/>
      <c r="G143" s="48"/>
      <c r="H143" s="44"/>
      <c r="I143" s="48"/>
      <c r="J143" s="48"/>
      <c r="K143" s="147"/>
    </row>
    <row r="144" spans="1:12">
      <c r="A144" s="4"/>
      <c r="B144" s="199"/>
      <c r="C144" s="202"/>
      <c r="D144" s="76"/>
      <c r="E144" s="4"/>
      <c r="F144" s="71"/>
      <c r="G144" s="48"/>
      <c r="H144" s="44"/>
      <c r="I144" s="48"/>
      <c r="J144" s="48"/>
      <c r="K144" s="147"/>
    </row>
    <row r="145" spans="1:11">
      <c r="A145" s="4"/>
      <c r="B145" s="199"/>
      <c r="C145" s="202"/>
      <c r="D145" s="61"/>
      <c r="E145" s="4"/>
      <c r="F145" s="71"/>
      <c r="G145" s="48"/>
      <c r="H145" s="44"/>
      <c r="I145" s="48"/>
      <c r="J145" s="48"/>
      <c r="K145" s="147"/>
    </row>
    <row r="146" spans="1:11">
      <c r="A146" s="4"/>
      <c r="B146" s="199"/>
      <c r="C146" s="202"/>
      <c r="D146" s="61"/>
      <c r="E146" s="4"/>
      <c r="F146" s="71"/>
      <c r="G146" s="48"/>
      <c r="H146" s="44"/>
      <c r="I146" s="48"/>
      <c r="J146" s="48"/>
      <c r="K146" s="147"/>
    </row>
    <row r="147" spans="1:11">
      <c r="A147" s="4"/>
      <c r="B147" s="199"/>
      <c r="C147" s="202"/>
      <c r="D147" s="76"/>
      <c r="E147" s="4"/>
      <c r="F147" s="76"/>
      <c r="G147" s="48"/>
      <c r="H147" s="44"/>
      <c r="I147" s="48"/>
      <c r="J147" s="48"/>
      <c r="K147" s="147"/>
    </row>
    <row r="148" spans="1:11">
      <c r="A148" s="4"/>
      <c r="B148" s="199"/>
      <c r="C148" s="202"/>
      <c r="D148" s="76"/>
      <c r="E148" s="4"/>
      <c r="F148" s="76"/>
      <c r="G148" s="48"/>
      <c r="H148" s="44"/>
      <c r="I148" s="48"/>
      <c r="J148" s="48"/>
      <c r="K148" s="147"/>
    </row>
    <row r="149" spans="1:11">
      <c r="A149" s="4"/>
      <c r="B149" s="199"/>
      <c r="C149" s="204"/>
      <c r="D149" s="76"/>
      <c r="E149" s="4"/>
      <c r="F149" s="76"/>
      <c r="G149" s="48"/>
      <c r="H149" s="44"/>
      <c r="I149" s="48"/>
      <c r="J149" s="48"/>
      <c r="K149" s="147"/>
    </row>
    <row r="150" spans="1:11">
      <c r="A150" s="205"/>
      <c r="B150" s="206"/>
      <c r="C150" s="207"/>
      <c r="D150" s="208"/>
      <c r="E150" s="208"/>
      <c r="F150" s="209"/>
      <c r="G150" s="210"/>
      <c r="H150" s="211"/>
      <c r="I150" s="212"/>
      <c r="J150" s="213"/>
      <c r="K150" s="214"/>
    </row>
    <row r="151" spans="1:11">
      <c r="A151" s="115"/>
      <c r="B151" s="215"/>
      <c r="C151" s="216"/>
      <c r="D151" s="217"/>
      <c r="E151" s="217"/>
      <c r="F151" s="87"/>
      <c r="G151" s="218"/>
      <c r="H151" s="90"/>
      <c r="I151" s="219"/>
      <c r="J151" s="88"/>
      <c r="K151" s="189"/>
    </row>
    <row r="152" spans="1:11">
      <c r="A152" s="190"/>
      <c r="B152" s="220"/>
      <c r="C152" s="221"/>
      <c r="D152" s="193"/>
      <c r="E152" s="193"/>
      <c r="F152" s="194"/>
      <c r="G152" s="140"/>
      <c r="H152" s="195"/>
      <c r="I152" s="196"/>
      <c r="J152" s="197"/>
      <c r="K152" s="198"/>
    </row>
    <row r="153" spans="1:11">
      <c r="A153" s="190"/>
      <c r="B153" s="199"/>
      <c r="C153" s="202"/>
      <c r="D153" s="76"/>
      <c r="E153" s="4"/>
      <c r="F153" s="71"/>
      <c r="G153" s="48"/>
      <c r="H153" s="44"/>
      <c r="I153" s="48"/>
      <c r="J153" s="48"/>
      <c r="K153" s="198"/>
    </row>
    <row r="154" spans="1:11">
      <c r="A154" s="190"/>
      <c r="B154" s="199"/>
      <c r="C154" s="202"/>
      <c r="D154" s="76"/>
      <c r="E154" s="4"/>
      <c r="F154" s="71"/>
      <c r="G154" s="48"/>
      <c r="H154" s="44"/>
      <c r="I154" s="48"/>
      <c r="J154" s="48"/>
      <c r="K154" s="198"/>
    </row>
    <row r="155" spans="1:11">
      <c r="A155" s="190"/>
      <c r="B155" s="199"/>
      <c r="C155" s="204"/>
      <c r="D155" s="61"/>
      <c r="E155" s="4"/>
      <c r="F155" s="76"/>
      <c r="G155" s="48"/>
      <c r="H155" s="44"/>
      <c r="I155" s="48"/>
      <c r="J155" s="48"/>
      <c r="K155" s="198"/>
    </row>
    <row r="156" spans="1:11">
      <c r="A156" s="190"/>
      <c r="B156" s="199"/>
      <c r="C156" s="202"/>
      <c r="D156" s="76"/>
      <c r="E156" s="4"/>
      <c r="F156" s="71"/>
      <c r="G156" s="48"/>
      <c r="H156" s="44"/>
      <c r="I156" s="48"/>
      <c r="J156" s="48"/>
      <c r="K156" s="198"/>
    </row>
    <row r="157" spans="1:11">
      <c r="A157" s="39"/>
      <c r="B157" s="199"/>
      <c r="C157" s="222"/>
      <c r="D157" s="61"/>
      <c r="E157" s="4"/>
      <c r="F157" s="76"/>
      <c r="G157" s="48"/>
      <c r="H157" s="44"/>
      <c r="I157" s="48"/>
      <c r="J157" s="48"/>
      <c r="K157" s="147"/>
    </row>
    <row r="158" spans="1:11">
      <c r="A158" s="39"/>
      <c r="B158" s="199"/>
      <c r="C158" s="202"/>
      <c r="D158" s="61"/>
      <c r="E158" s="4"/>
      <c r="F158" s="76"/>
      <c r="G158" s="48"/>
      <c r="H158" s="44"/>
      <c r="I158" s="48"/>
      <c r="J158" s="48"/>
      <c r="K158" s="147"/>
    </row>
    <row r="159" spans="1:11">
      <c r="A159" s="39"/>
      <c r="B159" s="199"/>
      <c r="C159" s="202"/>
      <c r="D159" s="61"/>
      <c r="E159" s="4"/>
      <c r="F159" s="76"/>
      <c r="G159" s="48"/>
      <c r="H159" s="44"/>
      <c r="I159" s="48"/>
      <c r="J159" s="48"/>
      <c r="K159" s="147"/>
    </row>
    <row r="160" spans="1:11">
      <c r="A160" s="39"/>
      <c r="B160" s="199"/>
      <c r="C160" s="202"/>
      <c r="D160" s="61"/>
      <c r="E160" s="4"/>
      <c r="F160" s="76"/>
      <c r="G160" s="48"/>
      <c r="H160" s="44"/>
      <c r="I160" s="48"/>
      <c r="J160" s="48"/>
      <c r="K160" s="147"/>
    </row>
    <row r="161" spans="1:11">
      <c r="A161" s="4"/>
      <c r="B161" s="199"/>
      <c r="C161" s="202"/>
      <c r="D161" s="61"/>
      <c r="E161" s="4"/>
      <c r="F161" s="76"/>
      <c r="G161" s="48"/>
      <c r="H161" s="44"/>
      <c r="I161" s="48"/>
      <c r="J161" s="48"/>
      <c r="K161" s="147"/>
    </row>
    <row r="162" spans="1:11">
      <c r="A162" s="4"/>
      <c r="B162" s="199"/>
      <c r="C162" s="202"/>
      <c r="D162" s="61"/>
      <c r="E162" s="4"/>
      <c r="F162" s="76"/>
      <c r="G162" s="48"/>
      <c r="H162" s="44"/>
      <c r="I162" s="48"/>
      <c r="J162" s="48"/>
      <c r="K162" s="147"/>
    </row>
    <row r="163" spans="1:11">
      <c r="A163" s="4"/>
      <c r="B163" s="199"/>
      <c r="C163" s="202"/>
      <c r="D163" s="61"/>
      <c r="E163" s="4"/>
      <c r="F163" s="76"/>
      <c r="G163" s="48"/>
      <c r="H163" s="44"/>
      <c r="I163" s="48"/>
      <c r="J163" s="48"/>
      <c r="K163" s="147"/>
    </row>
    <row r="164" spans="1:11">
      <c r="A164" s="4"/>
      <c r="B164" s="199"/>
      <c r="C164" s="202"/>
      <c r="D164" s="76"/>
      <c r="E164" s="4"/>
      <c r="F164" s="76"/>
      <c r="G164" s="48"/>
      <c r="H164" s="44"/>
      <c r="I164" s="48"/>
      <c r="J164" s="48"/>
      <c r="K164" s="147"/>
    </row>
    <row r="165" spans="1:11">
      <c r="A165" s="4"/>
      <c r="B165" s="199"/>
      <c r="C165" s="202"/>
      <c r="D165" s="76"/>
      <c r="E165" s="4"/>
      <c r="F165" s="76"/>
      <c r="G165" s="48"/>
      <c r="H165" s="44"/>
      <c r="I165" s="48"/>
      <c r="J165" s="48"/>
      <c r="K165" s="147"/>
    </row>
    <row r="166" spans="1:11">
      <c r="A166" s="4"/>
      <c r="B166" s="199"/>
      <c r="C166" s="204"/>
      <c r="D166" s="76"/>
      <c r="E166" s="4"/>
      <c r="F166" s="71"/>
      <c r="G166" s="48"/>
      <c r="H166" s="44"/>
      <c r="I166" s="48"/>
      <c r="J166" s="48"/>
      <c r="K166" s="147"/>
    </row>
    <row r="167" spans="1:11">
      <c r="A167" s="205"/>
      <c r="B167" s="223"/>
      <c r="C167" s="207"/>
      <c r="D167" s="208"/>
      <c r="E167" s="208"/>
      <c r="F167" s="209"/>
      <c r="G167" s="210"/>
      <c r="H167" s="211"/>
      <c r="I167" s="212"/>
      <c r="J167" s="213"/>
      <c r="K167" s="214"/>
    </row>
    <row r="168" spans="1:11">
      <c r="A168" s="115"/>
      <c r="B168" s="215"/>
      <c r="C168" s="216"/>
      <c r="D168" s="217"/>
      <c r="E168" s="217"/>
      <c r="F168" s="87"/>
      <c r="G168" s="218"/>
      <c r="H168" s="90"/>
      <c r="I168" s="219"/>
      <c r="J168" s="88"/>
      <c r="K168" s="189"/>
    </row>
    <row r="169" spans="1:11">
      <c r="A169" s="190"/>
      <c r="B169" s="220"/>
      <c r="C169" s="221"/>
      <c r="D169" s="193"/>
      <c r="E169" s="193"/>
      <c r="F169" s="194"/>
      <c r="G169" s="140"/>
      <c r="H169" s="195"/>
      <c r="I169" s="196"/>
      <c r="J169" s="197"/>
      <c r="K169" s="198"/>
    </row>
    <row r="170" spans="1:11">
      <c r="A170" s="39"/>
      <c r="B170" s="224"/>
      <c r="C170" s="225"/>
      <c r="D170" s="76"/>
      <c r="E170" s="4"/>
      <c r="F170" s="71"/>
      <c r="G170" s="48"/>
      <c r="H170" s="44"/>
      <c r="I170" s="48"/>
      <c r="J170" s="48"/>
      <c r="K170" s="147"/>
    </row>
    <row r="171" spans="1:11">
      <c r="A171" s="39"/>
      <c r="B171" s="199"/>
      <c r="C171" s="202"/>
      <c r="D171" s="76"/>
      <c r="E171" s="4"/>
      <c r="F171" s="71"/>
      <c r="G171" s="48"/>
      <c r="H171" s="44"/>
      <c r="I171" s="48"/>
      <c r="J171" s="48"/>
      <c r="K171" s="147"/>
    </row>
    <row r="172" spans="1:11">
      <c r="A172" s="95"/>
      <c r="B172" s="30"/>
      <c r="C172" s="226"/>
      <c r="D172" s="82"/>
      <c r="E172" s="227"/>
      <c r="F172" s="228"/>
      <c r="G172" s="114"/>
      <c r="H172" s="155"/>
      <c r="I172" s="114"/>
      <c r="J172" s="114"/>
      <c r="K172" s="158"/>
    </row>
    <row r="173" spans="1:11">
      <c r="A173" s="229"/>
      <c r="B173" s="230"/>
      <c r="C173" s="231"/>
      <c r="D173" s="232"/>
      <c r="E173" s="232"/>
      <c r="F173" s="233"/>
      <c r="G173" s="234"/>
      <c r="H173" s="235"/>
      <c r="I173" s="236"/>
      <c r="J173" s="237"/>
      <c r="K173" s="189"/>
    </row>
    <row r="174" spans="1:11">
      <c r="A174" s="190"/>
      <c r="B174" s="191"/>
      <c r="C174" s="192"/>
      <c r="D174" s="238"/>
      <c r="E174" s="238"/>
      <c r="F174" s="194"/>
      <c r="G174" s="140"/>
      <c r="H174" s="195"/>
      <c r="I174" s="196"/>
      <c r="J174" s="197"/>
      <c r="K174" s="198"/>
    </row>
    <row r="175" spans="1:11">
      <c r="A175" s="239"/>
      <c r="B175" s="199"/>
      <c r="C175" s="202"/>
      <c r="D175" s="76"/>
      <c r="E175" s="4"/>
      <c r="F175" s="71"/>
      <c r="G175" s="48"/>
      <c r="H175" s="44"/>
      <c r="I175" s="48"/>
      <c r="J175" s="48"/>
      <c r="K175" s="147"/>
    </row>
    <row r="176" spans="1:11">
      <c r="A176" s="239"/>
      <c r="B176" s="199"/>
      <c r="C176" s="202"/>
      <c r="D176" s="76"/>
      <c r="E176" s="4"/>
      <c r="F176" s="71"/>
      <c r="G176" s="48"/>
      <c r="H176" s="44"/>
      <c r="I176" s="48"/>
      <c r="J176" s="48"/>
      <c r="K176" s="147"/>
    </row>
    <row r="177" spans="1:11">
      <c r="A177" s="239"/>
      <c r="B177" s="199"/>
      <c r="C177" s="202"/>
      <c r="D177" s="76"/>
      <c r="E177" s="4"/>
      <c r="F177" s="71"/>
      <c r="G177" s="48"/>
      <c r="H177" s="44"/>
      <c r="I177" s="48"/>
      <c r="J177" s="48"/>
      <c r="K177" s="147"/>
    </row>
    <row r="178" spans="1:11">
      <c r="A178" s="4"/>
      <c r="B178" s="224"/>
      <c r="C178" s="240"/>
      <c r="D178" s="76"/>
      <c r="E178" s="4"/>
      <c r="F178" s="71"/>
      <c r="G178" s="48"/>
      <c r="H178" s="44"/>
      <c r="I178" s="48"/>
      <c r="J178" s="48"/>
      <c r="K178" s="147"/>
    </row>
    <row r="179" spans="1:11">
      <c r="A179" s="4"/>
      <c r="B179" s="224"/>
      <c r="C179" s="240"/>
      <c r="D179" s="61"/>
      <c r="E179" s="4"/>
      <c r="F179" s="71"/>
      <c r="G179" s="48"/>
      <c r="H179" s="44"/>
      <c r="I179" s="48"/>
      <c r="J179" s="48"/>
      <c r="K179" s="147"/>
    </row>
    <row r="180" spans="1:11">
      <c r="A180" s="4"/>
      <c r="B180" s="224"/>
      <c r="C180" s="240"/>
      <c r="D180" s="61"/>
      <c r="E180" s="4"/>
      <c r="F180" s="71"/>
      <c r="G180" s="48"/>
      <c r="H180" s="44"/>
      <c r="I180" s="48"/>
      <c r="J180" s="48"/>
      <c r="K180" s="147"/>
    </row>
    <row r="181" spans="1:11">
      <c r="A181" s="4"/>
      <c r="B181" s="224"/>
      <c r="C181" s="240"/>
      <c r="D181" s="61"/>
      <c r="E181" s="4"/>
      <c r="F181" s="71"/>
      <c r="G181" s="48"/>
      <c r="H181" s="44"/>
      <c r="I181" s="48"/>
      <c r="J181" s="48"/>
      <c r="K181" s="147"/>
    </row>
    <row r="182" spans="1:11">
      <c r="A182" s="4"/>
      <c r="B182" s="224"/>
      <c r="C182" s="240"/>
      <c r="D182" s="61"/>
      <c r="E182" s="4"/>
      <c r="F182" s="71"/>
      <c r="G182" s="48"/>
      <c r="H182" s="44"/>
      <c r="I182" s="48"/>
      <c r="J182" s="48"/>
      <c r="K182" s="147"/>
    </row>
    <row r="183" spans="1:11">
      <c r="A183" s="4"/>
      <c r="B183" s="224"/>
      <c r="C183" s="240"/>
      <c r="D183" s="61"/>
      <c r="E183" s="4"/>
      <c r="F183" s="71"/>
      <c r="G183" s="48"/>
      <c r="H183" s="44"/>
      <c r="I183" s="48"/>
      <c r="J183" s="48"/>
      <c r="K183" s="147"/>
    </row>
    <row r="184" spans="1:11">
      <c r="A184" s="4"/>
      <c r="B184" s="199"/>
      <c r="C184" s="202"/>
      <c r="D184" s="76"/>
      <c r="E184" s="4"/>
      <c r="F184" s="71"/>
      <c r="G184" s="48"/>
      <c r="H184" s="44"/>
      <c r="I184" s="48"/>
      <c r="J184" s="48"/>
      <c r="K184" s="147"/>
    </row>
    <row r="185" spans="1:11">
      <c r="A185" s="4"/>
      <c r="B185" s="224"/>
      <c r="C185" s="240"/>
      <c r="D185" s="61"/>
      <c r="E185" s="4"/>
      <c r="F185" s="71"/>
      <c r="G185" s="48"/>
      <c r="H185" s="44"/>
      <c r="I185" s="48"/>
      <c r="J185" s="48"/>
      <c r="K185" s="147"/>
    </row>
    <row r="186" spans="1:11">
      <c r="A186" s="4"/>
      <c r="B186" s="224"/>
      <c r="C186" s="240"/>
      <c r="D186" s="61"/>
      <c r="E186" s="4"/>
      <c r="F186" s="71"/>
      <c r="G186" s="48"/>
      <c r="H186" s="44"/>
      <c r="I186" s="48"/>
      <c r="J186" s="48"/>
      <c r="K186" s="147"/>
    </row>
    <row r="187" spans="1:11">
      <c r="A187" s="4"/>
      <c r="B187" s="199"/>
      <c r="C187" s="202"/>
      <c r="D187" s="61"/>
      <c r="E187" s="4"/>
      <c r="F187" s="71"/>
      <c r="G187" s="48"/>
      <c r="H187" s="44"/>
      <c r="I187" s="48"/>
      <c r="J187" s="48"/>
      <c r="K187" s="147"/>
    </row>
    <row r="188" spans="1:11">
      <c r="A188" s="4"/>
      <c r="B188" s="199"/>
      <c r="C188" s="202"/>
      <c r="D188" s="61"/>
      <c r="E188" s="4"/>
      <c r="F188" s="71"/>
      <c r="G188" s="48"/>
      <c r="H188" s="44"/>
      <c r="I188" s="48"/>
      <c r="J188" s="48"/>
      <c r="K188" s="147"/>
    </row>
    <row r="189" spans="1:11">
      <c r="A189" s="4"/>
      <c r="B189" s="199"/>
      <c r="C189" s="202"/>
      <c r="D189" s="76"/>
      <c r="E189" s="4"/>
      <c r="F189" s="71"/>
      <c r="G189" s="48"/>
      <c r="H189" s="44"/>
      <c r="I189" s="48"/>
      <c r="J189" s="48"/>
      <c r="K189" s="147"/>
    </row>
    <row r="190" spans="1:11">
      <c r="A190" s="4"/>
      <c r="B190" s="199"/>
      <c r="C190" s="202"/>
      <c r="D190" s="76"/>
      <c r="E190" s="4"/>
      <c r="F190" s="71"/>
      <c r="G190" s="48"/>
      <c r="H190" s="44"/>
      <c r="I190" s="48"/>
      <c r="J190" s="48"/>
      <c r="K190" s="147"/>
    </row>
    <row r="191" spans="1:11">
      <c r="A191" s="4"/>
      <c r="B191" s="199"/>
      <c r="C191" s="202"/>
      <c r="D191" s="61"/>
      <c r="E191" s="4"/>
      <c r="F191" s="71"/>
      <c r="G191" s="48"/>
      <c r="H191" s="44"/>
      <c r="I191" s="48"/>
      <c r="J191" s="48"/>
      <c r="K191" s="147"/>
    </row>
    <row r="192" spans="1:11">
      <c r="A192" s="4"/>
      <c r="B192" s="199"/>
      <c r="C192" s="202"/>
      <c r="D192" s="61"/>
      <c r="E192" s="4"/>
      <c r="F192" s="71"/>
      <c r="G192" s="48"/>
      <c r="H192" s="44"/>
      <c r="I192" s="48"/>
      <c r="J192" s="48"/>
      <c r="K192" s="147"/>
    </row>
    <row r="193" spans="1:11">
      <c r="A193" s="4"/>
      <c r="B193" s="199"/>
      <c r="C193" s="202"/>
      <c r="D193" s="61"/>
      <c r="E193" s="4"/>
      <c r="F193" s="71"/>
      <c r="G193" s="48"/>
      <c r="H193" s="44"/>
      <c r="I193" s="48"/>
      <c r="J193" s="48"/>
      <c r="K193" s="147"/>
    </row>
    <row r="194" spans="1:11">
      <c r="A194" s="4"/>
      <c r="B194" s="203"/>
      <c r="C194" s="202"/>
      <c r="D194" s="76"/>
      <c r="E194" s="4"/>
      <c r="F194" s="71"/>
      <c r="G194" s="48"/>
      <c r="H194" s="44"/>
      <c r="I194" s="48"/>
      <c r="J194" s="48"/>
      <c r="K194" s="147"/>
    </row>
    <row r="195" spans="1:11">
      <c r="A195" s="241"/>
      <c r="B195" s="242"/>
      <c r="C195" s="243"/>
      <c r="D195" s="244"/>
      <c r="E195" s="244"/>
      <c r="F195" s="209"/>
      <c r="G195" s="210"/>
      <c r="H195" s="211"/>
      <c r="I195" s="212"/>
      <c r="J195" s="213"/>
      <c r="K195" s="214"/>
    </row>
    <row r="196" spans="1:11">
      <c r="A196" s="229"/>
      <c r="B196" s="215"/>
      <c r="C196" s="216"/>
      <c r="D196" s="217"/>
      <c r="E196" s="217"/>
      <c r="F196" s="86"/>
      <c r="G196" s="92"/>
      <c r="H196" s="90"/>
      <c r="I196" s="245"/>
      <c r="J196" s="117"/>
      <c r="K196" s="189"/>
    </row>
    <row r="197" spans="1:11">
      <c r="A197" s="190"/>
      <c r="B197" s="191"/>
      <c r="C197" s="246"/>
      <c r="D197" s="247"/>
      <c r="E197" s="247"/>
      <c r="F197" s="194"/>
      <c r="G197" s="140"/>
      <c r="H197" s="195"/>
      <c r="I197" s="196"/>
      <c r="J197" s="197"/>
      <c r="K197" s="198"/>
    </row>
    <row r="198" spans="1:11">
      <c r="A198" s="4"/>
      <c r="B198" s="199"/>
      <c r="C198" s="248"/>
      <c r="D198" s="61"/>
      <c r="E198" s="4"/>
      <c r="F198" s="71"/>
      <c r="G198" s="48"/>
      <c r="H198" s="44"/>
      <c r="I198" s="48"/>
      <c r="J198" s="48"/>
      <c r="K198" s="147"/>
    </row>
    <row r="199" spans="1:11">
      <c r="A199" s="4"/>
      <c r="B199" s="199"/>
      <c r="C199" s="248"/>
      <c r="D199" s="61"/>
      <c r="E199" s="4"/>
      <c r="F199" s="42"/>
      <c r="G199" s="48"/>
      <c r="H199" s="44"/>
      <c r="I199" s="48"/>
      <c r="J199" s="48"/>
      <c r="K199" s="147"/>
    </row>
    <row r="200" spans="1:11">
      <c r="A200" s="4"/>
      <c r="B200" s="199"/>
      <c r="C200" s="248"/>
      <c r="D200" s="61"/>
      <c r="E200" s="4"/>
      <c r="F200" s="42"/>
      <c r="G200" s="48"/>
      <c r="H200" s="44"/>
      <c r="I200" s="48"/>
      <c r="J200" s="48"/>
      <c r="K200" s="147"/>
    </row>
    <row r="201" spans="1:11">
      <c r="A201" s="4"/>
      <c r="B201" s="199"/>
      <c r="C201" s="248"/>
      <c r="D201" s="61"/>
      <c r="E201" s="4"/>
      <c r="F201" s="42"/>
      <c r="G201" s="48"/>
      <c r="H201" s="44"/>
      <c r="I201" s="48"/>
      <c r="J201" s="48"/>
      <c r="K201" s="147"/>
    </row>
    <row r="202" spans="1:11">
      <c r="A202" s="4"/>
      <c r="B202" s="199"/>
      <c r="C202" s="249"/>
      <c r="D202" s="76"/>
      <c r="E202" s="4"/>
      <c r="F202" s="71"/>
      <c r="G202" s="48"/>
      <c r="H202" s="72"/>
      <c r="I202" s="48"/>
      <c r="J202" s="48"/>
      <c r="K202" s="147"/>
    </row>
    <row r="203" spans="1:11">
      <c r="A203" s="4"/>
      <c r="B203" s="199"/>
      <c r="C203" s="249"/>
      <c r="D203" s="61"/>
      <c r="E203" s="4"/>
      <c r="F203" s="42"/>
      <c r="G203" s="48"/>
      <c r="H203" s="44"/>
      <c r="I203" s="48"/>
      <c r="J203" s="48"/>
      <c r="K203" s="147"/>
    </row>
    <row r="204" spans="1:11">
      <c r="A204" s="4"/>
      <c r="B204" s="199"/>
      <c r="C204" s="250"/>
      <c r="D204" s="61"/>
      <c r="E204" s="4"/>
      <c r="F204" s="42"/>
      <c r="G204" s="48"/>
      <c r="H204" s="44"/>
      <c r="I204" s="48"/>
      <c r="J204" s="48"/>
      <c r="K204" s="147"/>
    </row>
    <row r="205" spans="1:11">
      <c r="A205" s="4"/>
      <c r="B205" s="199"/>
      <c r="C205" s="250"/>
      <c r="D205" s="76"/>
      <c r="E205" s="4"/>
      <c r="F205" s="71"/>
      <c r="G205" s="48"/>
      <c r="H205" s="72"/>
      <c r="I205" s="48"/>
      <c r="J205" s="48"/>
      <c r="K205" s="147"/>
    </row>
    <row r="206" spans="1:11">
      <c r="A206" s="4"/>
      <c r="B206" s="199"/>
      <c r="C206" s="250"/>
      <c r="D206" s="76"/>
      <c r="E206" s="4"/>
      <c r="F206" s="71"/>
      <c r="G206" s="48"/>
      <c r="H206" s="72"/>
      <c r="I206" s="48"/>
      <c r="J206" s="48"/>
      <c r="K206" s="147"/>
    </row>
    <row r="207" spans="1:11">
      <c r="A207" s="4"/>
      <c r="B207" s="199"/>
      <c r="C207" s="250"/>
      <c r="D207" s="76"/>
      <c r="E207" s="4"/>
      <c r="F207" s="71"/>
      <c r="G207" s="48"/>
      <c r="H207" s="72"/>
      <c r="I207" s="48"/>
      <c r="J207" s="48"/>
      <c r="K207" s="147"/>
    </row>
    <row r="208" spans="1:11">
      <c r="A208" s="4"/>
      <c r="B208" s="199"/>
      <c r="C208" s="250"/>
      <c r="D208" s="61"/>
      <c r="E208" s="4"/>
      <c r="F208" s="71"/>
      <c r="G208" s="48"/>
      <c r="H208" s="44"/>
      <c r="I208" s="48"/>
      <c r="J208" s="48"/>
      <c r="K208" s="147"/>
    </row>
    <row r="209" spans="1:11">
      <c r="A209" s="4"/>
      <c r="B209" s="199"/>
      <c r="C209" s="250"/>
      <c r="D209" s="61"/>
      <c r="E209" s="4"/>
      <c r="F209" s="71"/>
      <c r="G209" s="48"/>
      <c r="H209" s="44"/>
      <c r="I209" s="48"/>
      <c r="J209" s="48"/>
      <c r="K209" s="147"/>
    </row>
    <row r="210" spans="1:11">
      <c r="A210" s="4"/>
      <c r="B210" s="199"/>
      <c r="C210" s="250"/>
      <c r="D210" s="61"/>
      <c r="E210" s="4"/>
      <c r="F210" s="76"/>
      <c r="G210" s="48"/>
      <c r="H210" s="44"/>
      <c r="I210" s="48"/>
      <c r="J210" s="48"/>
      <c r="K210" s="147"/>
    </row>
    <row r="211" spans="1:11">
      <c r="A211" s="4"/>
      <c r="B211" s="199"/>
      <c r="C211" s="250"/>
      <c r="D211" s="61"/>
      <c r="E211" s="4"/>
      <c r="F211" s="71"/>
      <c r="G211" s="48"/>
      <c r="H211" s="44"/>
      <c r="I211" s="48"/>
      <c r="J211" s="48"/>
      <c r="K211" s="147"/>
    </row>
    <row r="212" spans="1:11">
      <c r="A212" s="4"/>
      <c r="B212" s="199"/>
      <c r="C212" s="250"/>
      <c r="D212" s="61"/>
      <c r="E212" s="4"/>
      <c r="F212" s="71"/>
      <c r="G212" s="48"/>
      <c r="H212" s="72"/>
      <c r="I212" s="48"/>
      <c r="J212" s="48"/>
      <c r="K212" s="147"/>
    </row>
    <row r="213" spans="1:11">
      <c r="A213" s="4"/>
      <c r="B213" s="199"/>
      <c r="C213" s="250"/>
      <c r="D213" s="61"/>
      <c r="E213" s="4"/>
      <c r="F213" s="71"/>
      <c r="G213" s="48"/>
      <c r="H213" s="72"/>
      <c r="I213" s="48"/>
      <c r="J213" s="48"/>
      <c r="K213" s="147"/>
    </row>
    <row r="214" spans="1:11">
      <c r="A214" s="4"/>
      <c r="B214" s="199"/>
      <c r="C214" s="250"/>
      <c r="D214" s="61"/>
      <c r="E214" s="4"/>
      <c r="F214" s="71"/>
      <c r="G214" s="48"/>
      <c r="H214" s="72"/>
      <c r="I214" s="48"/>
      <c r="J214" s="48"/>
      <c r="K214" s="147"/>
    </row>
    <row r="215" spans="1:11">
      <c r="A215" s="4"/>
      <c r="B215" s="199"/>
      <c r="C215" s="250"/>
      <c r="D215" s="61"/>
      <c r="E215" s="4"/>
      <c r="F215" s="71"/>
      <c r="G215" s="48"/>
      <c r="H215" s="72"/>
      <c r="I215" s="48"/>
      <c r="J215" s="48"/>
      <c r="K215" s="147"/>
    </row>
    <row r="216" spans="1:11">
      <c r="A216" s="4"/>
      <c r="B216" s="199"/>
      <c r="C216" s="250"/>
      <c r="D216" s="76"/>
      <c r="E216" s="4"/>
      <c r="F216" s="71"/>
      <c r="G216" s="48"/>
      <c r="H216" s="72"/>
      <c r="I216" s="48"/>
      <c r="J216" s="48"/>
      <c r="K216" s="147"/>
    </row>
    <row r="217" spans="1:11">
      <c r="A217" s="4"/>
      <c r="B217" s="199"/>
      <c r="C217" s="250"/>
      <c r="D217" s="76"/>
      <c r="E217" s="4"/>
      <c r="F217" s="71"/>
      <c r="G217" s="48"/>
      <c r="H217" s="72"/>
      <c r="I217" s="48"/>
      <c r="J217" s="48"/>
      <c r="K217" s="147"/>
    </row>
    <row r="218" spans="1:11">
      <c r="A218" s="4"/>
      <c r="B218" s="199"/>
      <c r="C218" s="250"/>
      <c r="D218" s="76"/>
      <c r="E218" s="4"/>
      <c r="F218" s="71"/>
      <c r="G218" s="48"/>
      <c r="H218" s="72"/>
      <c r="I218" s="48"/>
      <c r="J218" s="48"/>
      <c r="K218" s="147"/>
    </row>
    <row r="219" spans="1:11">
      <c r="A219" s="4"/>
      <c r="B219" s="199"/>
      <c r="C219" s="250"/>
      <c r="D219" s="76"/>
      <c r="E219" s="4"/>
      <c r="F219" s="71"/>
      <c r="G219" s="48"/>
      <c r="H219" s="72"/>
      <c r="I219" s="48"/>
      <c r="J219" s="48"/>
      <c r="K219" s="147"/>
    </row>
    <row r="220" spans="1:11">
      <c r="A220" s="4"/>
      <c r="B220" s="199"/>
      <c r="C220" s="250"/>
      <c r="D220" s="76"/>
      <c r="E220" s="4"/>
      <c r="F220" s="71"/>
      <c r="G220" s="48"/>
      <c r="H220" s="72"/>
      <c r="I220" s="48"/>
      <c r="J220" s="48"/>
      <c r="K220" s="147"/>
    </row>
    <row r="221" spans="1:11">
      <c r="A221" s="4"/>
      <c r="B221" s="199"/>
      <c r="C221" s="250"/>
      <c r="D221" s="76"/>
      <c r="E221" s="4"/>
      <c r="F221" s="71"/>
      <c r="G221" s="48"/>
      <c r="H221" s="72"/>
      <c r="I221" s="48"/>
      <c r="J221" s="48"/>
      <c r="K221" s="147"/>
    </row>
    <row r="222" spans="1:11">
      <c r="A222" s="4"/>
      <c r="B222" s="199"/>
      <c r="C222" s="250"/>
      <c r="D222" s="76"/>
      <c r="E222" s="4"/>
      <c r="F222" s="71"/>
      <c r="G222" s="48"/>
      <c r="H222" s="72"/>
      <c r="I222" s="48"/>
      <c r="J222" s="48"/>
      <c r="K222" s="147"/>
    </row>
    <row r="223" spans="1:11">
      <c r="A223" s="241"/>
      <c r="B223" s="242"/>
      <c r="C223" s="207"/>
      <c r="D223" s="208"/>
      <c r="E223" s="208"/>
      <c r="F223" s="209"/>
      <c r="G223" s="210"/>
      <c r="H223" s="211"/>
      <c r="I223" s="212"/>
      <c r="J223" s="251"/>
      <c r="K223" s="214"/>
    </row>
    <row r="224" spans="1:11">
      <c r="A224" s="229"/>
      <c r="B224" s="230"/>
      <c r="C224" s="252"/>
      <c r="D224" s="232"/>
      <c r="E224" s="232"/>
      <c r="F224" s="233"/>
      <c r="G224" s="234"/>
      <c r="H224" s="235"/>
      <c r="I224" s="236"/>
      <c r="J224" s="237"/>
      <c r="K224" s="189"/>
    </row>
    <row r="225" spans="1:12" s="242" customFormat="1">
      <c r="A225" s="253"/>
      <c r="B225" s="254"/>
      <c r="C225" s="200"/>
      <c r="D225" s="255"/>
      <c r="E225" s="255"/>
      <c r="F225" s="71"/>
      <c r="G225" s="149"/>
      <c r="H225" s="72"/>
      <c r="I225" s="196"/>
      <c r="J225" s="197"/>
      <c r="K225" s="198"/>
      <c r="L225" s="256"/>
    </row>
    <row r="226" spans="1:12">
      <c r="A226" s="41"/>
      <c r="B226" s="199"/>
      <c r="C226" s="201"/>
      <c r="D226" s="61"/>
      <c r="E226" s="4"/>
      <c r="F226" s="71"/>
      <c r="G226" s="48"/>
      <c r="H226" s="72"/>
      <c r="I226" s="48"/>
      <c r="J226" s="48"/>
      <c r="K226" s="147"/>
    </row>
    <row r="227" spans="1:12">
      <c r="A227" s="39"/>
      <c r="B227" s="199"/>
      <c r="C227" s="201"/>
      <c r="D227" s="61"/>
      <c r="E227" s="4"/>
      <c r="F227" s="71"/>
      <c r="G227" s="48"/>
      <c r="H227" s="72"/>
      <c r="I227" s="48"/>
      <c r="J227" s="48"/>
      <c r="K227" s="147"/>
    </row>
    <row r="228" spans="1:12">
      <c r="A228" s="39"/>
      <c r="B228" s="199"/>
      <c r="C228" s="201"/>
      <c r="D228" s="61"/>
      <c r="E228" s="4"/>
      <c r="F228" s="71"/>
      <c r="G228" s="48"/>
      <c r="H228" s="64"/>
      <c r="I228" s="48"/>
      <c r="J228" s="48"/>
      <c r="K228" s="147"/>
    </row>
    <row r="229" spans="1:12">
      <c r="A229" s="39"/>
      <c r="B229" s="199"/>
      <c r="C229" s="201"/>
      <c r="D229" s="257"/>
      <c r="E229" s="4"/>
      <c r="F229" s="71"/>
      <c r="G229" s="48"/>
      <c r="H229" s="72"/>
      <c r="I229" s="48"/>
      <c r="J229" s="48"/>
      <c r="K229" s="147"/>
    </row>
    <row r="230" spans="1:12">
      <c r="A230" s="39"/>
      <c r="B230" s="199"/>
      <c r="C230" s="201"/>
      <c r="D230" s="257"/>
      <c r="E230" s="4"/>
      <c r="F230" s="71"/>
      <c r="G230" s="48"/>
      <c r="H230" s="72"/>
      <c r="I230" s="48"/>
      <c r="J230" s="48"/>
      <c r="K230" s="147"/>
    </row>
    <row r="231" spans="1:12">
      <c r="A231" s="39"/>
      <c r="B231" s="199"/>
      <c r="C231" s="201"/>
      <c r="D231" s="257"/>
      <c r="E231" s="4"/>
      <c r="F231" s="71"/>
      <c r="G231" s="48"/>
      <c r="H231" s="72"/>
      <c r="I231" s="48"/>
      <c r="J231" s="48"/>
      <c r="K231" s="147"/>
    </row>
    <row r="232" spans="1:12">
      <c r="A232" s="39"/>
      <c r="B232" s="199"/>
      <c r="C232" s="201"/>
      <c r="D232" s="257"/>
      <c r="E232" s="4"/>
      <c r="F232" s="71"/>
      <c r="G232" s="48"/>
      <c r="H232" s="72"/>
      <c r="I232" s="48"/>
      <c r="J232" s="48"/>
      <c r="K232" s="147"/>
    </row>
    <row r="233" spans="1:12">
      <c r="A233" s="39"/>
      <c r="B233" s="199"/>
      <c r="C233" s="201"/>
      <c r="D233" s="257"/>
      <c r="E233" s="4"/>
      <c r="F233" s="71"/>
      <c r="G233" s="48"/>
      <c r="H233" s="72"/>
      <c r="I233" s="48"/>
      <c r="J233" s="48"/>
      <c r="K233" s="147"/>
    </row>
    <row r="234" spans="1:12">
      <c r="A234" s="39"/>
      <c r="B234" s="199"/>
      <c r="C234" s="201"/>
      <c r="D234" s="257"/>
      <c r="E234" s="4"/>
      <c r="F234" s="71"/>
      <c r="G234" s="48"/>
      <c r="H234" s="72"/>
      <c r="I234" s="48"/>
      <c r="J234" s="48"/>
      <c r="K234" s="147"/>
    </row>
    <row r="235" spans="1:12">
      <c r="A235" s="39"/>
      <c r="B235" s="199"/>
      <c r="C235" s="202"/>
      <c r="D235" s="257"/>
      <c r="E235" s="4"/>
      <c r="F235" s="42"/>
      <c r="G235" s="48"/>
      <c r="H235" s="44"/>
      <c r="I235" s="48"/>
      <c r="J235" s="48"/>
      <c r="K235" s="147"/>
    </row>
    <row r="236" spans="1:12">
      <c r="A236" s="39"/>
      <c r="B236" s="199"/>
      <c r="C236" s="202"/>
      <c r="D236" s="61"/>
      <c r="E236" s="4"/>
      <c r="F236" s="71"/>
      <c r="G236" s="48"/>
      <c r="H236" s="44"/>
      <c r="I236" s="48"/>
      <c r="J236" s="48"/>
      <c r="K236" s="147"/>
    </row>
    <row r="237" spans="1:12">
      <c r="A237" s="39"/>
      <c r="B237" s="199"/>
      <c r="C237" s="202"/>
      <c r="D237" s="257"/>
      <c r="E237" s="4"/>
      <c r="F237" s="71"/>
      <c r="G237" s="48"/>
      <c r="H237" s="72"/>
      <c r="I237" s="48"/>
      <c r="J237" s="48"/>
      <c r="K237" s="147"/>
    </row>
    <row r="238" spans="1:12">
      <c r="A238" s="39"/>
      <c r="B238" s="199"/>
      <c r="C238" s="202"/>
      <c r="D238" s="257"/>
      <c r="E238" s="4"/>
      <c r="F238" s="42"/>
      <c r="G238" s="48"/>
      <c r="H238" s="44"/>
      <c r="I238" s="48"/>
      <c r="J238" s="48"/>
      <c r="K238" s="147"/>
    </row>
    <row r="239" spans="1:12">
      <c r="A239" s="39"/>
      <c r="B239" s="147"/>
      <c r="C239" s="202"/>
      <c r="D239" s="257"/>
      <c r="E239" s="4"/>
      <c r="F239" s="71"/>
      <c r="G239" s="48"/>
      <c r="H239" s="72"/>
      <c r="I239" s="48"/>
      <c r="J239" s="48"/>
      <c r="K239" s="147"/>
    </row>
    <row r="240" spans="1:12">
      <c r="A240" s="39"/>
      <c r="B240" s="147"/>
      <c r="C240" s="202"/>
      <c r="D240" s="61"/>
      <c r="E240" s="4"/>
      <c r="F240" s="71"/>
      <c r="G240" s="48"/>
      <c r="H240" s="72"/>
      <c r="I240" s="48"/>
      <c r="J240" s="48"/>
      <c r="K240" s="147"/>
    </row>
    <row r="241" spans="1:11">
      <c r="A241" s="39"/>
      <c r="B241" s="147"/>
      <c r="C241" s="202"/>
      <c r="D241" s="257"/>
      <c r="E241" s="4"/>
      <c r="F241" s="71"/>
      <c r="G241" s="48"/>
      <c r="H241" s="44"/>
      <c r="I241" s="48"/>
      <c r="J241" s="48"/>
      <c r="K241" s="147"/>
    </row>
    <row r="242" spans="1:11">
      <c r="A242" s="39"/>
      <c r="B242" s="147"/>
      <c r="C242" s="202"/>
      <c r="D242" s="61"/>
      <c r="E242" s="4"/>
      <c r="F242" s="71"/>
      <c r="G242" s="48"/>
      <c r="H242" s="44"/>
      <c r="I242" s="48"/>
      <c r="J242" s="48"/>
      <c r="K242" s="147"/>
    </row>
    <row r="243" spans="1:11">
      <c r="A243" s="39"/>
      <c r="B243" s="147"/>
      <c r="C243" s="202"/>
      <c r="D243" s="61"/>
      <c r="E243" s="4"/>
      <c r="F243" s="71"/>
      <c r="G243" s="48"/>
      <c r="H243" s="44"/>
      <c r="I243" s="48"/>
      <c r="J243" s="48"/>
      <c r="K243" s="147"/>
    </row>
    <row r="244" spans="1:11">
      <c r="A244" s="39"/>
      <c r="B244" s="199"/>
      <c r="C244" s="202"/>
      <c r="D244" s="61"/>
      <c r="E244" s="4"/>
      <c r="F244" s="71"/>
      <c r="G244" s="48"/>
      <c r="H244" s="72"/>
      <c r="I244" s="48"/>
      <c r="J244" s="48"/>
      <c r="K244" s="147"/>
    </row>
    <row r="245" spans="1:11">
      <c r="A245" s="39"/>
      <c r="B245" s="147"/>
      <c r="C245" s="202"/>
      <c r="D245" s="257"/>
      <c r="E245" s="4"/>
      <c r="F245" s="71"/>
      <c r="G245" s="48"/>
      <c r="H245" s="72"/>
      <c r="I245" s="48"/>
      <c r="J245" s="48"/>
      <c r="K245" s="147"/>
    </row>
    <row r="246" spans="1:11">
      <c r="A246" s="258"/>
      <c r="B246" s="147"/>
      <c r="C246" s="243"/>
      <c r="D246" s="259"/>
      <c r="E246" s="4"/>
      <c r="F246" s="209"/>
      <c r="G246" s="48"/>
      <c r="H246" s="211"/>
      <c r="I246" s="48"/>
      <c r="J246" s="48"/>
      <c r="K246" s="214"/>
    </row>
    <row r="247" spans="1:11">
      <c r="A247" s="258"/>
      <c r="B247" s="147"/>
      <c r="C247" s="243"/>
      <c r="D247" s="259"/>
      <c r="E247" s="4"/>
      <c r="F247" s="209"/>
      <c r="G247" s="48"/>
      <c r="H247" s="211"/>
      <c r="I247" s="48"/>
      <c r="J247" s="48"/>
      <c r="K247" s="214"/>
    </row>
    <row r="248" spans="1:11">
      <c r="A248" s="39"/>
      <c r="B248" s="199"/>
      <c r="C248" s="250"/>
      <c r="D248" s="260"/>
      <c r="E248" s="4"/>
      <c r="F248" s="42"/>
      <c r="G248" s="48"/>
      <c r="H248" s="44"/>
      <c r="I248" s="48"/>
      <c r="J248" s="48"/>
      <c r="K248" s="147"/>
    </row>
    <row r="249" spans="1:11">
      <c r="A249" s="95"/>
      <c r="B249" s="30"/>
      <c r="C249" s="261"/>
      <c r="D249" s="262"/>
      <c r="E249" s="262"/>
      <c r="F249" s="263"/>
      <c r="G249" s="114"/>
      <c r="H249" s="155"/>
      <c r="I249" s="114"/>
      <c r="J249" s="99"/>
      <c r="K249" s="158"/>
    </row>
    <row r="250" spans="1:11">
      <c r="A250" s="115"/>
      <c r="B250" s="215"/>
      <c r="C250" s="216"/>
      <c r="D250" s="217"/>
      <c r="E250" s="217"/>
      <c r="F250" s="86"/>
      <c r="G250" s="92"/>
      <c r="H250" s="90"/>
      <c r="I250" s="245"/>
      <c r="J250" s="117"/>
      <c r="K250" s="189"/>
    </row>
    <row r="251" spans="1:11">
      <c r="A251" s="115"/>
      <c r="B251" s="35"/>
      <c r="C251" s="264"/>
      <c r="D251" s="115"/>
      <c r="E251" s="115"/>
      <c r="F251" s="233"/>
      <c r="G251" s="187"/>
      <c r="H251" s="235"/>
      <c r="I251" s="265"/>
      <c r="J251" s="237"/>
      <c r="K251" s="94"/>
    </row>
    <row r="252" spans="1:11" ht="21" customHeight="1">
      <c r="A252" s="51"/>
      <c r="B252" s="184"/>
      <c r="C252" s="185"/>
      <c r="D252" s="51"/>
      <c r="E252" s="51"/>
      <c r="F252" s="186"/>
      <c r="G252" s="187"/>
      <c r="H252" s="188"/>
      <c r="I252" s="180"/>
      <c r="J252" s="94"/>
      <c r="K252" s="189"/>
    </row>
    <row r="253" spans="1:11">
      <c r="A253" s="238"/>
      <c r="B253" s="266"/>
      <c r="C253" s="267"/>
      <c r="D253" s="268"/>
      <c r="E253" s="268"/>
      <c r="F253" s="269"/>
      <c r="G253" s="140"/>
      <c r="H253" s="270"/>
      <c r="I253" s="196"/>
      <c r="J253" s="271"/>
      <c r="K253" s="272"/>
    </row>
    <row r="254" spans="1:11">
      <c r="A254" s="39"/>
      <c r="B254" s="127"/>
      <c r="C254" s="273"/>
      <c r="D254" s="274"/>
      <c r="E254" s="39"/>
      <c r="F254" s="42"/>
      <c r="G254" s="149"/>
      <c r="H254" s="44"/>
      <c r="I254" s="146"/>
      <c r="J254" s="275"/>
      <c r="K254" s="276"/>
    </row>
    <row r="255" spans="1:11">
      <c r="A255" s="39"/>
      <c r="B255" s="127"/>
      <c r="C255" s="107"/>
      <c r="D255" s="277"/>
      <c r="E255" s="39"/>
      <c r="F255" s="42"/>
      <c r="G255" s="149"/>
      <c r="H255" s="44"/>
      <c r="I255" s="146"/>
      <c r="J255" s="275"/>
      <c r="K255" s="276"/>
    </row>
    <row r="256" spans="1:11">
      <c r="A256" s="41"/>
      <c r="B256" s="278"/>
      <c r="C256" s="278"/>
      <c r="D256" s="279"/>
      <c r="E256" s="41"/>
      <c r="F256" s="280"/>
      <c r="G256" s="149"/>
      <c r="H256" s="281"/>
      <c r="I256" s="146"/>
      <c r="J256" s="275"/>
      <c r="K256" s="276"/>
    </row>
    <row r="257" spans="1:11">
      <c r="A257" s="39"/>
      <c r="B257" s="107"/>
      <c r="C257" s="273"/>
      <c r="D257" s="277"/>
      <c r="E257" s="39"/>
      <c r="F257" s="42"/>
      <c r="G257" s="149"/>
      <c r="H257" s="44"/>
      <c r="I257" s="146"/>
      <c r="J257" s="275"/>
      <c r="K257" s="282"/>
    </row>
    <row r="258" spans="1:11">
      <c r="A258" s="39"/>
      <c r="B258" s="127"/>
      <c r="C258" s="107"/>
      <c r="D258" s="277"/>
      <c r="E258" s="39"/>
      <c r="F258" s="42"/>
      <c r="G258" s="149"/>
      <c r="H258" s="44"/>
      <c r="I258" s="146"/>
      <c r="J258" s="275"/>
      <c r="K258" s="282"/>
    </row>
    <row r="259" spans="1:11">
      <c r="A259" s="39"/>
      <c r="B259" s="107"/>
      <c r="C259" s="273"/>
      <c r="D259" s="277"/>
      <c r="E259" s="39"/>
      <c r="F259" s="42"/>
      <c r="G259" s="149"/>
      <c r="H259" s="44"/>
      <c r="I259" s="146"/>
      <c r="J259" s="275"/>
      <c r="K259" s="282"/>
    </row>
    <row r="260" spans="1:11">
      <c r="A260" s="39"/>
      <c r="B260" s="107"/>
      <c r="C260" s="273"/>
      <c r="D260" s="277"/>
      <c r="E260" s="39"/>
      <c r="F260" s="42"/>
      <c r="G260" s="149"/>
      <c r="H260" s="44"/>
      <c r="I260" s="146"/>
      <c r="J260" s="275"/>
      <c r="K260" s="282"/>
    </row>
    <row r="261" spans="1:11">
      <c r="A261" s="39"/>
      <c r="B261" s="107"/>
      <c r="C261" s="107"/>
      <c r="D261" s="277"/>
      <c r="E261" s="39"/>
      <c r="F261" s="42"/>
      <c r="G261" s="149"/>
      <c r="H261" s="44"/>
      <c r="I261" s="146"/>
      <c r="J261" s="275"/>
      <c r="K261" s="282"/>
    </row>
    <row r="262" spans="1:11">
      <c r="A262" s="41"/>
      <c r="B262" s="278"/>
      <c r="C262" s="107"/>
      <c r="D262" s="277"/>
      <c r="E262" s="39"/>
      <c r="F262" s="42"/>
      <c r="G262" s="149"/>
      <c r="H262" s="44"/>
      <c r="I262" s="146"/>
      <c r="J262" s="275"/>
      <c r="K262" s="282"/>
    </row>
    <row r="263" spans="1:11">
      <c r="A263" s="39"/>
      <c r="B263" s="127"/>
      <c r="C263" s="273"/>
      <c r="D263" s="277"/>
      <c r="E263" s="39"/>
      <c r="F263" s="42"/>
      <c r="G263" s="149"/>
      <c r="H263" s="44"/>
      <c r="I263" s="146"/>
      <c r="J263" s="275"/>
      <c r="K263" s="282"/>
    </row>
    <row r="264" spans="1:11">
      <c r="A264" s="41"/>
      <c r="B264" s="278"/>
      <c r="C264" s="107"/>
      <c r="D264" s="277"/>
      <c r="E264" s="39"/>
      <c r="F264" s="42"/>
      <c r="G264" s="149"/>
      <c r="H264" s="44"/>
      <c r="I264" s="146"/>
      <c r="J264" s="275"/>
      <c r="K264" s="282"/>
    </row>
    <row r="265" spans="1:11">
      <c r="A265" s="41"/>
      <c r="B265" s="278"/>
      <c r="C265" s="107"/>
      <c r="D265" s="277"/>
      <c r="E265" s="39"/>
      <c r="F265" s="42"/>
      <c r="G265" s="149"/>
      <c r="H265" s="44"/>
      <c r="I265" s="146"/>
      <c r="J265" s="275"/>
      <c r="K265" s="282"/>
    </row>
    <row r="266" spans="1:11">
      <c r="A266" s="283"/>
      <c r="B266" s="284"/>
      <c r="C266" s="96"/>
      <c r="D266" s="285"/>
      <c r="E266" s="95"/>
      <c r="F266" s="263"/>
      <c r="G266" s="153"/>
      <c r="H266" s="155"/>
      <c r="I266" s="156"/>
      <c r="J266" s="286"/>
      <c r="K266" s="287"/>
    </row>
    <row r="267" spans="1:11">
      <c r="A267" s="115"/>
      <c r="B267" s="35"/>
      <c r="C267" s="35"/>
      <c r="D267" s="51"/>
      <c r="E267" s="51"/>
      <c r="F267" s="288"/>
      <c r="G267" s="180"/>
      <c r="H267" s="289"/>
      <c r="I267" s="180"/>
      <c r="J267" s="180"/>
      <c r="K267" s="219"/>
    </row>
  </sheetData>
  <mergeCells count="10">
    <mergeCell ref="J3:K3"/>
    <mergeCell ref="A5:A6"/>
    <mergeCell ref="B5:B6"/>
    <mergeCell ref="C5:C6"/>
    <mergeCell ref="D5:D6"/>
    <mergeCell ref="E5:E6"/>
    <mergeCell ref="F5:G5"/>
    <mergeCell ref="H5:I5"/>
    <mergeCell ref="J5:J6"/>
    <mergeCell ref="K5:K6"/>
  </mergeCells>
  <printOptions horizontalCentered="1"/>
  <pageMargins left="0.39370078740157483" right="0.23622047244094491" top="0.6692913385826772" bottom="0.39370078740157483" header="0.15748031496062992" footer="0.15748031496062992"/>
  <pageSetup paperSize="9" scale="56" orientation="portrait" r:id="rId1"/>
  <headerFooter alignWithMargins="0">
    <oddFooter>&amp;R&amp;"Browallia New,ธรรมดา"&amp;11แผ่นที่ &amp;P รวม &amp;N</oddFooter>
  </headerFooter>
  <rowBreaks count="2" manualBreakCount="2">
    <brk id="86" max="10" man="1"/>
    <brk id="111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2"/>
  <sheetViews>
    <sheetView showGridLines="0" showZeros="0" view="pageBreakPreview" topLeftCell="A6" zoomScaleNormal="110" zoomScaleSheetLayoutView="100" workbookViewId="0">
      <selection activeCell="H12" sqref="H12"/>
    </sheetView>
  </sheetViews>
  <sheetFormatPr defaultRowHeight="24"/>
  <cols>
    <col min="1" max="1" width="5.625" style="766" customWidth="1"/>
    <col min="2" max="2" width="48.625" style="767" customWidth="1"/>
    <col min="3" max="3" width="6.875" style="766" hidden="1" customWidth="1"/>
    <col min="4" max="4" width="10.625" style="766" customWidth="1"/>
    <col min="5" max="5" width="6.5" style="768" customWidth="1"/>
    <col min="6" max="6" width="12" style="769" customWidth="1"/>
    <col min="7" max="7" width="12" style="770" customWidth="1"/>
    <col min="8" max="8" width="12" style="771" customWidth="1"/>
    <col min="9" max="10" width="12" style="770" customWidth="1"/>
    <col min="11" max="11" width="11.25" style="772" customWidth="1"/>
    <col min="12" max="12" width="10" style="642" bestFit="1" customWidth="1"/>
    <col min="13" max="13" width="11.25" style="642" bestFit="1" customWidth="1"/>
    <col min="14" max="14" width="11.375" style="642" bestFit="1" customWidth="1"/>
    <col min="15" max="15" width="9.375" style="642" bestFit="1" customWidth="1"/>
    <col min="16" max="22" width="9" style="642"/>
    <col min="23" max="23" width="11.375" style="642" bestFit="1" customWidth="1"/>
    <col min="24" max="24" width="9" style="642"/>
    <col min="25" max="25" width="9.375" style="642" bestFit="1" customWidth="1"/>
    <col min="26" max="26" width="14.625" style="642" bestFit="1" customWidth="1"/>
    <col min="27" max="27" width="9.375" style="642" bestFit="1" customWidth="1"/>
    <col min="28" max="28" width="14.25" style="642" bestFit="1" customWidth="1"/>
    <col min="29" max="29" width="14.125" style="642" bestFit="1" customWidth="1"/>
    <col min="30" max="30" width="13.625" style="642" bestFit="1" customWidth="1"/>
    <col min="31" max="31" width="12.5" style="642" bestFit="1" customWidth="1"/>
    <col min="32" max="32" width="14.25" style="642" bestFit="1" customWidth="1"/>
    <col min="33" max="33" width="9.375" style="642" bestFit="1" customWidth="1"/>
    <col min="34" max="16384" width="9" style="642"/>
  </cols>
  <sheetData>
    <row r="1" spans="1:30" s="626" customFormat="1">
      <c r="A1" s="620" t="s">
        <v>439</v>
      </c>
      <c r="B1" s="621"/>
      <c r="C1" s="622"/>
      <c r="D1" s="622"/>
      <c r="E1" s="622"/>
      <c r="F1" s="623"/>
      <c r="G1" s="623"/>
      <c r="H1" s="623"/>
      <c r="I1" s="623"/>
      <c r="J1" s="624" t="s">
        <v>22</v>
      </c>
      <c r="K1" s="625"/>
    </row>
    <row r="2" spans="1:30" s="626" customFormat="1">
      <c r="A2" s="620" t="s">
        <v>454</v>
      </c>
      <c r="B2" s="627"/>
      <c r="C2" s="628"/>
      <c r="D2" s="628"/>
      <c r="E2" s="622" t="s">
        <v>23</v>
      </c>
      <c r="F2" s="623"/>
      <c r="G2" s="623"/>
      <c r="H2" s="623"/>
      <c r="I2" s="629"/>
      <c r="J2" s="630" t="s">
        <v>24</v>
      </c>
      <c r="K2" s="631"/>
    </row>
    <row r="3" spans="1:30" s="626" customFormat="1" ht="19.5" customHeight="1">
      <c r="A3" s="620" t="s">
        <v>431</v>
      </c>
      <c r="B3" s="627"/>
      <c r="C3" s="632"/>
      <c r="D3" s="632"/>
      <c r="E3" s="633" t="s">
        <v>21</v>
      </c>
      <c r="F3" s="634"/>
      <c r="G3" s="635">
        <f>ปร.5!F9</f>
        <v>44502</v>
      </c>
      <c r="H3" s="636"/>
      <c r="I3" s="637"/>
      <c r="J3" s="1299"/>
      <c r="K3" s="1299"/>
    </row>
    <row r="4" spans="1:30" s="626" customFormat="1" ht="20.25" customHeight="1">
      <c r="A4" s="638"/>
      <c r="B4" s="639"/>
      <c r="C4" s="638"/>
      <c r="D4" s="1300" t="s">
        <v>26</v>
      </c>
      <c r="E4" s="1300"/>
      <c r="F4" s="1300"/>
      <c r="G4" s="640"/>
      <c r="H4" s="640"/>
      <c r="I4" s="640"/>
      <c r="J4" s="640"/>
      <c r="K4" s="641"/>
    </row>
    <row r="5" spans="1:30" ht="19.5" customHeight="1">
      <c r="A5" s="1301" t="s">
        <v>7</v>
      </c>
      <c r="B5" s="1303" t="s">
        <v>18</v>
      </c>
      <c r="C5" s="1301" t="s">
        <v>14</v>
      </c>
      <c r="D5" s="1301" t="s">
        <v>14</v>
      </c>
      <c r="E5" s="1301" t="s">
        <v>13</v>
      </c>
      <c r="F5" s="1305" t="s">
        <v>8</v>
      </c>
      <c r="G5" s="1306"/>
      <c r="H5" s="1305" t="s">
        <v>9</v>
      </c>
      <c r="I5" s="1306"/>
      <c r="J5" s="1307" t="s">
        <v>10</v>
      </c>
      <c r="K5" s="1303" t="s">
        <v>15</v>
      </c>
    </row>
    <row r="6" spans="1:30">
      <c r="A6" s="1302"/>
      <c r="B6" s="1304"/>
      <c r="C6" s="1302"/>
      <c r="D6" s="1302"/>
      <c r="E6" s="1302"/>
      <c r="F6" s="643" t="s">
        <v>11</v>
      </c>
      <c r="G6" s="644" t="s">
        <v>12</v>
      </c>
      <c r="H6" s="645" t="s">
        <v>11</v>
      </c>
      <c r="I6" s="644" t="s">
        <v>12</v>
      </c>
      <c r="J6" s="1308"/>
      <c r="K6" s="1304"/>
    </row>
    <row r="7" spans="1:30">
      <c r="A7" s="646">
        <v>1</v>
      </c>
      <c r="B7" s="647" t="s">
        <v>122</v>
      </c>
      <c r="C7" s="648"/>
      <c r="D7" s="649"/>
      <c r="E7" s="650"/>
      <c r="F7" s="651"/>
      <c r="G7" s="652"/>
      <c r="H7" s="653"/>
      <c r="I7" s="654"/>
      <c r="J7" s="655"/>
      <c r="K7" s="656"/>
      <c r="L7" s="656"/>
      <c r="M7" s="656"/>
      <c r="N7" s="656"/>
      <c r="O7" s="656"/>
      <c r="P7" s="656"/>
      <c r="Q7" s="656"/>
      <c r="R7" s="656"/>
      <c r="S7" s="656"/>
      <c r="T7" s="656"/>
      <c r="U7" s="656"/>
      <c r="V7" s="656"/>
      <c r="W7" s="657"/>
      <c r="X7" s="652"/>
      <c r="Y7" s="651"/>
      <c r="Z7" s="652"/>
      <c r="AA7" s="653"/>
      <c r="AB7" s="654"/>
      <c r="AC7" s="658"/>
      <c r="AD7" s="659"/>
    </row>
    <row r="8" spans="1:30">
      <c r="A8" s="660">
        <v>1.1000000000000001</v>
      </c>
      <c r="B8" s="661" t="s">
        <v>60</v>
      </c>
      <c r="C8" s="662"/>
      <c r="D8" s="663"/>
      <c r="E8" s="664"/>
      <c r="F8" s="665"/>
      <c r="G8" s="666"/>
      <c r="H8" s="667"/>
      <c r="I8" s="668"/>
      <c r="J8" s="669"/>
      <c r="K8" s="670"/>
      <c r="L8" s="670"/>
      <c r="M8" s="670"/>
      <c r="N8" s="670"/>
      <c r="O8" s="670"/>
      <c r="P8" s="670"/>
      <c r="Q8" s="670"/>
      <c r="R8" s="670"/>
      <c r="S8" s="670"/>
      <c r="T8" s="670"/>
      <c r="U8" s="670"/>
      <c r="V8" s="670"/>
      <c r="W8" s="671"/>
      <c r="X8" s="666"/>
      <c r="Y8" s="665"/>
      <c r="Z8" s="666"/>
      <c r="AA8" s="667"/>
      <c r="AB8" s="668"/>
      <c r="AC8" s="672"/>
      <c r="AD8" s="673"/>
    </row>
    <row r="9" spans="1:30">
      <c r="A9" s="674"/>
      <c r="B9" s="661" t="s">
        <v>413</v>
      </c>
      <c r="C9" s="675"/>
      <c r="D9" s="676">
        <v>148</v>
      </c>
      <c r="E9" s="677" t="s">
        <v>16</v>
      </c>
      <c r="F9" s="678">
        <v>100</v>
      </c>
      <c r="G9" s="678">
        <f>D9*F9</f>
        <v>14800</v>
      </c>
      <c r="H9" s="679">
        <v>80</v>
      </c>
      <c r="I9" s="678">
        <f>SUM(D9*H9)</f>
        <v>11840</v>
      </c>
      <c r="J9" s="678">
        <f>I9+G9</f>
        <v>26640</v>
      </c>
      <c r="K9" s="680"/>
      <c r="L9" s="680"/>
      <c r="M9" s="680"/>
      <c r="N9" s="680"/>
      <c r="O9" s="680"/>
      <c r="P9" s="680"/>
      <c r="Q9" s="680"/>
      <c r="R9" s="680"/>
      <c r="S9" s="680"/>
      <c r="T9" s="680"/>
      <c r="U9" s="680"/>
      <c r="V9" s="680" t="s">
        <v>392</v>
      </c>
      <c r="W9" s="681">
        <v>1800</v>
      </c>
      <c r="X9" s="682" t="s">
        <v>16</v>
      </c>
      <c r="Y9" s="678">
        <v>15</v>
      </c>
      <c r="Z9" s="678">
        <f>W9*Y9</f>
        <v>27000</v>
      </c>
      <c r="AA9" s="679">
        <v>15</v>
      </c>
      <c r="AB9" s="678">
        <f>SUM(W9*AA9)</f>
        <v>27000</v>
      </c>
      <c r="AC9" s="683">
        <f>AB9+Z9</f>
        <v>54000</v>
      </c>
      <c r="AD9" s="683">
        <f>+J9-AC9</f>
        <v>-27360</v>
      </c>
    </row>
    <row r="10" spans="1:30">
      <c r="A10" s="674">
        <v>1.2</v>
      </c>
      <c r="B10" s="661" t="s">
        <v>414</v>
      </c>
      <c r="C10" s="675"/>
      <c r="D10" s="676"/>
      <c r="E10" s="677"/>
      <c r="F10" s="678"/>
      <c r="G10" s="678"/>
      <c r="H10" s="679"/>
      <c r="I10" s="678"/>
      <c r="J10" s="678"/>
      <c r="K10" s="680"/>
      <c r="L10" s="680"/>
      <c r="M10" s="680"/>
      <c r="N10" s="680"/>
      <c r="O10" s="680"/>
      <c r="P10" s="680"/>
      <c r="Q10" s="680"/>
      <c r="R10" s="680"/>
      <c r="S10" s="680"/>
      <c r="T10" s="680"/>
      <c r="U10" s="680"/>
      <c r="V10" s="680"/>
      <c r="W10" s="681"/>
      <c r="X10" s="682"/>
      <c r="Y10" s="678"/>
      <c r="Z10" s="678"/>
      <c r="AA10" s="679"/>
      <c r="AB10" s="678"/>
      <c r="AC10" s="683"/>
      <c r="AD10" s="683"/>
    </row>
    <row r="11" spans="1:30">
      <c r="A11" s="660"/>
      <c r="B11" s="661" t="s">
        <v>415</v>
      </c>
      <c r="C11" s="684"/>
      <c r="D11" s="676">
        <v>52</v>
      </c>
      <c r="E11" s="685" t="s">
        <v>36</v>
      </c>
      <c r="F11" s="665">
        <v>0</v>
      </c>
      <c r="G11" s="667">
        <v>0</v>
      </c>
      <c r="H11" s="667">
        <v>350</v>
      </c>
      <c r="I11" s="665">
        <f t="shared" ref="I11:I13" si="0">SUM(D11*H11)</f>
        <v>18200</v>
      </c>
      <c r="J11" s="665">
        <f t="shared" ref="J11:J13" si="1">I11+G11</f>
        <v>18200</v>
      </c>
      <c r="K11" s="680"/>
      <c r="L11" s="680"/>
      <c r="M11" s="680"/>
      <c r="N11" s="680"/>
      <c r="O11" s="680"/>
      <c r="P11" s="680"/>
      <c r="Q11" s="680"/>
      <c r="R11" s="680"/>
      <c r="S11" s="680"/>
      <c r="T11" s="680"/>
      <c r="U11" s="680"/>
      <c r="V11" s="680" t="s">
        <v>393</v>
      </c>
      <c r="W11" s="681">
        <v>78</v>
      </c>
      <c r="X11" s="685" t="s">
        <v>36</v>
      </c>
      <c r="Y11" s="665">
        <v>0</v>
      </c>
      <c r="Z11" s="667">
        <v>0</v>
      </c>
      <c r="AA11" s="667">
        <v>99</v>
      </c>
      <c r="AB11" s="665">
        <f t="shared" ref="AB11:AB13" si="2">SUM(W11*AA11)</f>
        <v>7722</v>
      </c>
      <c r="AC11" s="686">
        <f t="shared" ref="AC11:AC13" si="3">AB11+Z11</f>
        <v>7722</v>
      </c>
      <c r="AD11" s="683">
        <f t="shared" ref="AD11:AD36" si="4">+J11-AC11</f>
        <v>10478</v>
      </c>
    </row>
    <row r="12" spans="1:30">
      <c r="A12" s="660"/>
      <c r="B12" s="661" t="s">
        <v>416</v>
      </c>
      <c r="C12" s="684"/>
      <c r="D12" s="676">
        <v>5</v>
      </c>
      <c r="E12" s="685" t="s">
        <v>36</v>
      </c>
      <c r="F12" s="687">
        <v>500</v>
      </c>
      <c r="G12" s="665">
        <f>D12*F12</f>
        <v>2500</v>
      </c>
      <c r="H12" s="667">
        <v>150</v>
      </c>
      <c r="I12" s="665">
        <f t="shared" si="0"/>
        <v>750</v>
      </c>
      <c r="J12" s="665">
        <f t="shared" si="1"/>
        <v>3250</v>
      </c>
      <c r="K12" s="680"/>
      <c r="L12" s="680"/>
      <c r="M12" s="680"/>
      <c r="N12" s="680"/>
      <c r="O12" s="680"/>
      <c r="P12" s="680"/>
      <c r="Q12" s="680"/>
      <c r="R12" s="680"/>
      <c r="S12" s="680"/>
      <c r="T12" s="680"/>
      <c r="U12" s="680"/>
      <c r="V12" s="680" t="s">
        <v>394</v>
      </c>
      <c r="W12" s="681">
        <v>285</v>
      </c>
      <c r="X12" s="685" t="s">
        <v>36</v>
      </c>
      <c r="Y12" s="687">
        <v>388.33</v>
      </c>
      <c r="Z12" s="665">
        <f>W12*Y12</f>
        <v>110674.04999999999</v>
      </c>
      <c r="AA12" s="667">
        <v>91</v>
      </c>
      <c r="AB12" s="665">
        <f t="shared" si="2"/>
        <v>25935</v>
      </c>
      <c r="AC12" s="686">
        <f t="shared" si="3"/>
        <v>136609.04999999999</v>
      </c>
      <c r="AD12" s="683">
        <f t="shared" si="4"/>
        <v>-133359.04999999999</v>
      </c>
    </row>
    <row r="13" spans="1:30">
      <c r="A13" s="660"/>
      <c r="B13" s="661" t="s">
        <v>417</v>
      </c>
      <c r="C13" s="684"/>
      <c r="D13" s="676">
        <v>4</v>
      </c>
      <c r="E13" s="685" t="s">
        <v>36</v>
      </c>
      <c r="F13" s="687">
        <v>2000</v>
      </c>
      <c r="G13" s="665">
        <f>D13*F13</f>
        <v>8000</v>
      </c>
      <c r="H13" s="667">
        <v>456</v>
      </c>
      <c r="I13" s="665">
        <f t="shared" si="0"/>
        <v>1824</v>
      </c>
      <c r="J13" s="665">
        <f t="shared" si="1"/>
        <v>9824</v>
      </c>
      <c r="K13" s="680"/>
      <c r="L13" s="680"/>
      <c r="M13" s="680"/>
      <c r="N13" s="680"/>
      <c r="O13" s="680"/>
      <c r="P13" s="680"/>
      <c r="Q13" s="680"/>
      <c r="R13" s="680"/>
      <c r="S13" s="680"/>
      <c r="T13" s="680"/>
      <c r="U13" s="680"/>
      <c r="V13" s="680" t="s">
        <v>394</v>
      </c>
      <c r="W13" s="681">
        <v>15</v>
      </c>
      <c r="X13" s="685" t="s">
        <v>36</v>
      </c>
      <c r="Y13" s="687">
        <v>1635.1</v>
      </c>
      <c r="Z13" s="665">
        <f>W13*Y13</f>
        <v>24526.5</v>
      </c>
      <c r="AA13" s="667">
        <v>398</v>
      </c>
      <c r="AB13" s="665">
        <f t="shared" si="2"/>
        <v>5970</v>
      </c>
      <c r="AC13" s="686">
        <f t="shared" si="3"/>
        <v>30496.5</v>
      </c>
      <c r="AD13" s="683">
        <f t="shared" si="4"/>
        <v>-20672.5</v>
      </c>
    </row>
    <row r="14" spans="1:30">
      <c r="A14" s="660"/>
      <c r="B14" s="661" t="s">
        <v>418</v>
      </c>
      <c r="C14" s="684"/>
      <c r="D14" s="676" t="s">
        <v>33</v>
      </c>
      <c r="E14" s="685"/>
      <c r="F14" s="665"/>
      <c r="G14" s="665"/>
      <c r="H14" s="667"/>
      <c r="I14" s="665"/>
      <c r="J14" s="665"/>
      <c r="K14" s="688"/>
      <c r="L14" s="688"/>
      <c r="M14" s="688"/>
      <c r="N14" s="688"/>
      <c r="O14" s="688"/>
      <c r="P14" s="688"/>
      <c r="Q14" s="688"/>
      <c r="R14" s="688"/>
      <c r="S14" s="688"/>
      <c r="T14" s="688"/>
      <c r="U14" s="688"/>
      <c r="V14" s="688"/>
      <c r="W14" s="681" t="s">
        <v>33</v>
      </c>
      <c r="X14" s="685"/>
      <c r="Y14" s="665"/>
      <c r="Z14" s="665"/>
      <c r="AA14" s="667"/>
      <c r="AB14" s="665"/>
      <c r="AC14" s="686"/>
      <c r="AD14" s="683">
        <f t="shared" si="4"/>
        <v>0</v>
      </c>
    </row>
    <row r="15" spans="1:30">
      <c r="A15" s="660"/>
      <c r="B15" s="661" t="s">
        <v>508</v>
      </c>
      <c r="C15" s="684"/>
      <c r="D15" s="676">
        <v>50</v>
      </c>
      <c r="E15" s="685" t="s">
        <v>477</v>
      </c>
      <c r="F15" s="665">
        <v>125</v>
      </c>
      <c r="G15" s="665">
        <f>D15*F15</f>
        <v>6250</v>
      </c>
      <c r="H15" s="667"/>
      <c r="I15" s="665">
        <f>SUM(D15*H15)</f>
        <v>0</v>
      </c>
      <c r="J15" s="665">
        <f>I15+G15</f>
        <v>6250</v>
      </c>
      <c r="K15" s="688"/>
      <c r="L15" s="688"/>
      <c r="M15" s="688"/>
      <c r="N15" s="688"/>
      <c r="O15" s="688"/>
      <c r="P15" s="688"/>
      <c r="Q15" s="688"/>
      <c r="R15" s="688"/>
      <c r="S15" s="688"/>
      <c r="T15" s="688"/>
      <c r="U15" s="688"/>
      <c r="V15" s="688"/>
      <c r="W15" s="681" t="s">
        <v>33</v>
      </c>
      <c r="X15" s="685"/>
      <c r="Y15" s="665"/>
      <c r="Z15" s="665"/>
      <c r="AA15" s="667"/>
      <c r="AB15" s="665"/>
      <c r="AC15" s="686"/>
      <c r="AD15" s="683">
        <f t="shared" ref="AD15" si="5">+J15-AC15</f>
        <v>6250</v>
      </c>
    </row>
    <row r="16" spans="1:30">
      <c r="A16" s="660"/>
      <c r="B16" s="689" t="s">
        <v>458</v>
      </c>
      <c r="C16" s="684"/>
      <c r="D16" s="676">
        <v>45</v>
      </c>
      <c r="E16" s="685" t="s">
        <v>36</v>
      </c>
      <c r="F16" s="665">
        <v>2000</v>
      </c>
      <c r="G16" s="665">
        <f>D16*F16</f>
        <v>90000</v>
      </c>
      <c r="H16" s="667">
        <v>456</v>
      </c>
      <c r="I16" s="665">
        <f>SUM(D16*H16)</f>
        <v>20520</v>
      </c>
      <c r="J16" s="665">
        <f>I16+G16</f>
        <v>110520</v>
      </c>
      <c r="K16" s="665"/>
      <c r="L16" s="665">
        <f>D16*1.02</f>
        <v>45.9</v>
      </c>
      <c r="M16" s="680"/>
      <c r="N16" s="680"/>
      <c r="O16" s="680"/>
      <c r="P16" s="680"/>
      <c r="Q16" s="680"/>
      <c r="R16" s="680"/>
      <c r="S16" s="680"/>
      <c r="T16" s="680"/>
      <c r="U16" s="680"/>
      <c r="V16" s="680" t="s">
        <v>394</v>
      </c>
      <c r="W16" s="681">
        <f>990+5</f>
        <v>995</v>
      </c>
      <c r="X16" s="685" t="s">
        <v>36</v>
      </c>
      <c r="Y16" s="665">
        <v>1775.7</v>
      </c>
      <c r="Z16" s="665">
        <f>W16*Y16</f>
        <v>1766821.5</v>
      </c>
      <c r="AA16" s="667">
        <v>485</v>
      </c>
      <c r="AB16" s="665">
        <f>SUM(W16*AA16)</f>
        <v>482575</v>
      </c>
      <c r="AC16" s="686">
        <f>AB16+Z16</f>
        <v>2249396.5</v>
      </c>
      <c r="AD16" s="683">
        <f t="shared" si="4"/>
        <v>-2138876.5</v>
      </c>
    </row>
    <row r="17" spans="1:33">
      <c r="A17" s="660"/>
      <c r="B17" s="690" t="s">
        <v>419</v>
      </c>
      <c r="C17" s="684"/>
      <c r="D17" s="676" t="s">
        <v>33</v>
      </c>
      <c r="E17" s="685"/>
      <c r="F17" s="665"/>
      <c r="G17" s="667"/>
      <c r="H17" s="667"/>
      <c r="I17" s="665"/>
      <c r="J17" s="665"/>
      <c r="K17" s="665"/>
      <c r="L17" s="665" t="e">
        <f t="shared" ref="L17:L30" si="6">D17*1.02</f>
        <v>#VALUE!</v>
      </c>
      <c r="M17" s="688"/>
      <c r="N17" s="688"/>
      <c r="O17" s="688"/>
      <c r="P17" s="688"/>
      <c r="Q17" s="688"/>
      <c r="R17" s="688"/>
      <c r="S17" s="688"/>
      <c r="T17" s="688"/>
      <c r="U17" s="688"/>
      <c r="V17" s="688"/>
      <c r="W17" s="681" t="s">
        <v>33</v>
      </c>
      <c r="X17" s="685"/>
      <c r="Y17" s="665"/>
      <c r="Z17" s="667"/>
      <c r="AA17" s="667"/>
      <c r="AB17" s="665"/>
      <c r="AC17" s="686"/>
      <c r="AD17" s="683">
        <f t="shared" si="4"/>
        <v>0</v>
      </c>
    </row>
    <row r="18" spans="1:33">
      <c r="A18" s="660"/>
      <c r="B18" s="661" t="s">
        <v>449</v>
      </c>
      <c r="C18" s="691"/>
      <c r="D18" s="676">
        <v>23</v>
      </c>
      <c r="E18" s="685" t="s">
        <v>450</v>
      </c>
      <c r="F18" s="687">
        <v>100</v>
      </c>
      <c r="G18" s="665">
        <f t="shared" ref="G18" si="7">D18*F18</f>
        <v>2300</v>
      </c>
      <c r="H18" s="667">
        <v>50</v>
      </c>
      <c r="I18" s="665">
        <f t="shared" ref="I18:I25" si="8">SUM(D18*H18)</f>
        <v>1150</v>
      </c>
      <c r="J18" s="665">
        <f t="shared" ref="J18" si="9">I18+G18</f>
        <v>3450</v>
      </c>
      <c r="K18" s="665"/>
      <c r="L18" s="665">
        <f t="shared" si="6"/>
        <v>23.46</v>
      </c>
      <c r="M18" s="680"/>
      <c r="N18" s="680"/>
      <c r="O18" s="680"/>
      <c r="P18" s="680"/>
      <c r="Q18" s="680"/>
      <c r="R18" s="680"/>
      <c r="S18" s="680"/>
      <c r="T18" s="680"/>
      <c r="U18" s="680"/>
      <c r="V18" s="680" t="s">
        <v>392</v>
      </c>
      <c r="W18" s="681">
        <f t="shared" ref="W18:W24" si="10">7950+40</f>
        <v>7990</v>
      </c>
      <c r="X18" s="685" t="s">
        <v>16</v>
      </c>
      <c r="Y18" s="687">
        <v>267</v>
      </c>
      <c r="Z18" s="665">
        <f t="shared" ref="Z18" si="11">W18*Y18</f>
        <v>2133330</v>
      </c>
      <c r="AA18" s="667">
        <v>115</v>
      </c>
      <c r="AB18" s="665">
        <f t="shared" ref="AB18:AB25" si="12">SUM(W18*AA18)</f>
        <v>918850</v>
      </c>
      <c r="AC18" s="686">
        <f t="shared" ref="AC18" si="13">AB18+Z18</f>
        <v>3052180</v>
      </c>
      <c r="AD18" s="683">
        <f t="shared" si="4"/>
        <v>-3048730</v>
      </c>
    </row>
    <row r="19" spans="1:33">
      <c r="A19" s="660"/>
      <c r="B19" s="661" t="s">
        <v>459</v>
      </c>
      <c r="C19" s="691"/>
      <c r="D19" s="676">
        <v>23</v>
      </c>
      <c r="E19" s="685" t="s">
        <v>446</v>
      </c>
      <c r="F19" s="687">
        <v>60</v>
      </c>
      <c r="G19" s="665">
        <f t="shared" ref="G19" si="14">D19*F19</f>
        <v>1380</v>
      </c>
      <c r="H19" s="667">
        <v>80</v>
      </c>
      <c r="I19" s="665">
        <f t="shared" si="8"/>
        <v>1840</v>
      </c>
      <c r="J19" s="665">
        <f t="shared" ref="J19" si="15">I19+G19</f>
        <v>3220</v>
      </c>
      <c r="K19" s="665"/>
      <c r="L19" s="665">
        <f t="shared" ref="L19" si="16">D19*1.02</f>
        <v>23.46</v>
      </c>
      <c r="M19" s="680"/>
      <c r="N19" s="680"/>
      <c r="O19" s="680"/>
      <c r="P19" s="680"/>
      <c r="Q19" s="680"/>
      <c r="R19" s="680"/>
      <c r="S19" s="680"/>
      <c r="T19" s="680"/>
      <c r="U19" s="680"/>
      <c r="V19" s="680" t="s">
        <v>392</v>
      </c>
      <c r="W19" s="681">
        <f t="shared" si="10"/>
        <v>7990</v>
      </c>
      <c r="X19" s="685" t="s">
        <v>16</v>
      </c>
      <c r="Y19" s="687">
        <v>267</v>
      </c>
      <c r="Z19" s="665">
        <f t="shared" ref="Z19" si="17">W19*Y19</f>
        <v>2133330</v>
      </c>
      <c r="AA19" s="667">
        <v>115</v>
      </c>
      <c r="AB19" s="665">
        <f t="shared" si="12"/>
        <v>918850</v>
      </c>
      <c r="AC19" s="686">
        <f t="shared" ref="AC19" si="18">AB19+Z19</f>
        <v>3052180</v>
      </c>
      <c r="AD19" s="683">
        <f t="shared" ref="AD19" si="19">+J19-AC19</f>
        <v>-3048960</v>
      </c>
    </row>
    <row r="20" spans="1:33">
      <c r="A20" s="660"/>
      <c r="B20" s="661" t="s">
        <v>448</v>
      </c>
      <c r="C20" s="691"/>
      <c r="D20" s="676">
        <v>23</v>
      </c>
      <c r="E20" s="685" t="s">
        <v>446</v>
      </c>
      <c r="F20" s="687">
        <v>100</v>
      </c>
      <c r="G20" s="665">
        <f t="shared" ref="G20:G25" si="20">D20*F20</f>
        <v>2300</v>
      </c>
      <c r="H20" s="667">
        <v>80</v>
      </c>
      <c r="I20" s="665">
        <f t="shared" si="8"/>
        <v>1840</v>
      </c>
      <c r="J20" s="665">
        <f t="shared" ref="J20:J25" si="21">I20+G20</f>
        <v>4140</v>
      </c>
      <c r="K20" s="665"/>
      <c r="L20" s="665">
        <f t="shared" si="6"/>
        <v>23.46</v>
      </c>
      <c r="M20" s="680"/>
      <c r="N20" s="680"/>
      <c r="O20" s="680"/>
      <c r="P20" s="680"/>
      <c r="Q20" s="680"/>
      <c r="R20" s="680"/>
      <c r="S20" s="680"/>
      <c r="T20" s="680"/>
      <c r="U20" s="680"/>
      <c r="V20" s="680" t="s">
        <v>392</v>
      </c>
      <c r="W20" s="681">
        <f t="shared" si="10"/>
        <v>7990</v>
      </c>
      <c r="X20" s="685" t="s">
        <v>16</v>
      </c>
      <c r="Y20" s="687">
        <v>267</v>
      </c>
      <c r="Z20" s="665">
        <f t="shared" ref="Z20:Z25" si="22">W20*Y20</f>
        <v>2133330</v>
      </c>
      <c r="AA20" s="667">
        <v>115</v>
      </c>
      <c r="AB20" s="665">
        <f t="shared" si="12"/>
        <v>918850</v>
      </c>
      <c r="AC20" s="686">
        <f t="shared" ref="AC20:AC25" si="23">AB20+Z20</f>
        <v>3052180</v>
      </c>
      <c r="AD20" s="683">
        <f t="shared" si="4"/>
        <v>-3048040</v>
      </c>
    </row>
    <row r="21" spans="1:33">
      <c r="A21" s="660"/>
      <c r="B21" s="661" t="s">
        <v>462</v>
      </c>
      <c r="C21" s="691"/>
      <c r="D21" s="676">
        <v>155</v>
      </c>
      <c r="E21" s="685" t="s">
        <v>332</v>
      </c>
      <c r="F21" s="687">
        <v>50</v>
      </c>
      <c r="G21" s="665">
        <f t="shared" ref="G21" si="24">D21*F21</f>
        <v>7750</v>
      </c>
      <c r="H21" s="667">
        <v>40</v>
      </c>
      <c r="I21" s="665">
        <f t="shared" si="8"/>
        <v>6200</v>
      </c>
      <c r="J21" s="665">
        <f t="shared" ref="J21" si="25">I21+G21</f>
        <v>13950</v>
      </c>
      <c r="K21" s="665"/>
      <c r="L21" s="665">
        <f t="shared" ref="L21" si="26">D21*1.02</f>
        <v>158.1</v>
      </c>
      <c r="M21" s="680"/>
      <c r="N21" s="680"/>
      <c r="O21" s="680"/>
      <c r="P21" s="680"/>
      <c r="Q21" s="680"/>
      <c r="R21" s="680"/>
      <c r="S21" s="680"/>
      <c r="T21" s="680"/>
      <c r="U21" s="680"/>
      <c r="V21" s="680" t="s">
        <v>392</v>
      </c>
      <c r="W21" s="681">
        <f t="shared" si="10"/>
        <v>7990</v>
      </c>
      <c r="X21" s="685" t="s">
        <v>16</v>
      </c>
      <c r="Y21" s="687">
        <v>267</v>
      </c>
      <c r="Z21" s="665">
        <f t="shared" ref="Z21" si="27">W21*Y21</f>
        <v>2133330</v>
      </c>
      <c r="AA21" s="667">
        <v>115</v>
      </c>
      <c r="AB21" s="665">
        <f t="shared" si="12"/>
        <v>918850</v>
      </c>
      <c r="AC21" s="686">
        <f t="shared" ref="AC21" si="28">AB21+Z21</f>
        <v>3052180</v>
      </c>
      <c r="AD21" s="683">
        <f t="shared" ref="AD21" si="29">+J21-AC21</f>
        <v>-3038230</v>
      </c>
    </row>
    <row r="22" spans="1:33">
      <c r="A22" s="660"/>
      <c r="B22" s="661" t="s">
        <v>447</v>
      </c>
      <c r="C22" s="691"/>
      <c r="D22" s="676">
        <v>155</v>
      </c>
      <c r="E22" s="685" t="s">
        <v>332</v>
      </c>
      <c r="F22" s="687">
        <v>60</v>
      </c>
      <c r="G22" s="665">
        <f t="shared" ref="G22" si="30">D22*F22</f>
        <v>9300</v>
      </c>
      <c r="H22" s="667">
        <v>35</v>
      </c>
      <c r="I22" s="665">
        <f t="shared" si="8"/>
        <v>5425</v>
      </c>
      <c r="J22" s="665">
        <f t="shared" ref="J22" si="31">I22+G22</f>
        <v>14725</v>
      </c>
      <c r="K22" s="665"/>
      <c r="L22" s="665">
        <f t="shared" ref="L22" si="32">D22*1.02</f>
        <v>158.1</v>
      </c>
      <c r="M22" s="680"/>
      <c r="N22" s="680"/>
      <c r="O22" s="680"/>
      <c r="P22" s="680"/>
      <c r="Q22" s="680"/>
      <c r="R22" s="680"/>
      <c r="S22" s="680"/>
      <c r="T22" s="680"/>
      <c r="U22" s="680"/>
      <c r="V22" s="680" t="s">
        <v>392</v>
      </c>
      <c r="W22" s="681">
        <f t="shared" si="10"/>
        <v>7990</v>
      </c>
      <c r="X22" s="685" t="s">
        <v>16</v>
      </c>
      <c r="Y22" s="687">
        <v>267</v>
      </c>
      <c r="Z22" s="665">
        <f t="shared" ref="Z22" si="33">W22*Y22</f>
        <v>2133330</v>
      </c>
      <c r="AA22" s="667">
        <v>115</v>
      </c>
      <c r="AB22" s="665">
        <f t="shared" si="12"/>
        <v>918850</v>
      </c>
      <c r="AC22" s="686">
        <f t="shared" ref="AC22" si="34">AB22+Z22</f>
        <v>3052180</v>
      </c>
      <c r="AD22" s="683">
        <f t="shared" ref="AD22" si="35">+J22-AC22</f>
        <v>-3037455</v>
      </c>
    </row>
    <row r="23" spans="1:33">
      <c r="A23" s="660"/>
      <c r="B23" s="661" t="s">
        <v>461</v>
      </c>
      <c r="C23" s="691"/>
      <c r="D23" s="676">
        <v>10</v>
      </c>
      <c r="E23" s="685" t="s">
        <v>16</v>
      </c>
      <c r="F23" s="687">
        <v>220</v>
      </c>
      <c r="G23" s="665">
        <f t="shared" ref="G23" si="36">D23*F23</f>
        <v>2200</v>
      </c>
      <c r="H23" s="667">
        <v>125</v>
      </c>
      <c r="I23" s="665">
        <f t="shared" si="8"/>
        <v>1250</v>
      </c>
      <c r="J23" s="665">
        <f t="shared" ref="J23" si="37">I23+G23</f>
        <v>3450</v>
      </c>
      <c r="K23" s="665"/>
      <c r="L23" s="665">
        <f t="shared" ref="L23" si="38">D23*1.02</f>
        <v>10.199999999999999</v>
      </c>
      <c r="M23" s="680"/>
      <c r="N23" s="680"/>
      <c r="O23" s="680"/>
      <c r="P23" s="680"/>
      <c r="Q23" s="680"/>
      <c r="R23" s="680"/>
      <c r="S23" s="680"/>
      <c r="T23" s="680"/>
      <c r="U23" s="680"/>
      <c r="V23" s="680" t="s">
        <v>392</v>
      </c>
      <c r="W23" s="681">
        <f t="shared" si="10"/>
        <v>7990</v>
      </c>
      <c r="X23" s="685" t="s">
        <v>16</v>
      </c>
      <c r="Y23" s="687">
        <v>267</v>
      </c>
      <c r="Z23" s="665">
        <f t="shared" ref="Z23" si="39">W23*Y23</f>
        <v>2133330</v>
      </c>
      <c r="AA23" s="667">
        <v>115</v>
      </c>
      <c r="AB23" s="665">
        <f t="shared" si="12"/>
        <v>918850</v>
      </c>
      <c r="AC23" s="686">
        <f t="shared" ref="AC23" si="40">AB23+Z23</f>
        <v>3052180</v>
      </c>
      <c r="AD23" s="683">
        <f t="shared" ref="AD23" si="41">+J23-AC23</f>
        <v>-3048730</v>
      </c>
    </row>
    <row r="24" spans="1:33">
      <c r="A24" s="660"/>
      <c r="B24" s="661" t="s">
        <v>460</v>
      </c>
      <c r="C24" s="691"/>
      <c r="D24" s="676">
        <v>1</v>
      </c>
      <c r="E24" s="685" t="s">
        <v>123</v>
      </c>
      <c r="F24" s="687">
        <v>12000</v>
      </c>
      <c r="G24" s="665">
        <f t="shared" ref="G24" si="42">D24*F24</f>
        <v>12000</v>
      </c>
      <c r="H24" s="667">
        <v>5000</v>
      </c>
      <c r="I24" s="665">
        <f t="shared" si="8"/>
        <v>5000</v>
      </c>
      <c r="J24" s="665">
        <f t="shared" ref="J24" si="43">I24+G24</f>
        <v>17000</v>
      </c>
      <c r="K24" s="665"/>
      <c r="L24" s="665">
        <f t="shared" ref="L24" si="44">D24*1.02</f>
        <v>1.02</v>
      </c>
      <c r="M24" s="680"/>
      <c r="N24" s="680"/>
      <c r="O24" s="680"/>
      <c r="P24" s="680"/>
      <c r="Q24" s="680"/>
      <c r="R24" s="680"/>
      <c r="S24" s="680"/>
      <c r="T24" s="680"/>
      <c r="U24" s="680"/>
      <c r="V24" s="680" t="s">
        <v>392</v>
      </c>
      <c r="W24" s="681">
        <f t="shared" si="10"/>
        <v>7990</v>
      </c>
      <c r="X24" s="685" t="s">
        <v>16</v>
      </c>
      <c r="Y24" s="687">
        <v>267</v>
      </c>
      <c r="Z24" s="665">
        <f t="shared" ref="Z24" si="45">W24*Y24</f>
        <v>2133330</v>
      </c>
      <c r="AA24" s="667">
        <v>115</v>
      </c>
      <c r="AB24" s="665">
        <f t="shared" si="12"/>
        <v>918850</v>
      </c>
      <c r="AC24" s="686">
        <f t="shared" ref="AC24" si="46">AB24+Z24</f>
        <v>3052180</v>
      </c>
      <c r="AD24" s="683">
        <f t="shared" ref="AD24" si="47">+J24-AC24</f>
        <v>-3035180</v>
      </c>
    </row>
    <row r="25" spans="1:33">
      <c r="A25" s="692"/>
      <c r="B25" s="661" t="s">
        <v>420</v>
      </c>
      <c r="C25" s="693"/>
      <c r="D25" s="694">
        <v>40</v>
      </c>
      <c r="E25" s="685" t="s">
        <v>37</v>
      </c>
      <c r="F25" s="665">
        <v>55</v>
      </c>
      <c r="G25" s="665">
        <f t="shared" si="20"/>
        <v>2200</v>
      </c>
      <c r="H25" s="667">
        <v>10</v>
      </c>
      <c r="I25" s="665">
        <f t="shared" si="8"/>
        <v>400</v>
      </c>
      <c r="J25" s="665">
        <f t="shared" si="21"/>
        <v>2600</v>
      </c>
      <c r="K25" s="665"/>
      <c r="L25" s="665">
        <f t="shared" si="6"/>
        <v>40.799999999999997</v>
      </c>
      <c r="M25" s="680"/>
      <c r="N25" s="680"/>
      <c r="O25" s="680"/>
      <c r="P25" s="680"/>
      <c r="Q25" s="680"/>
      <c r="R25" s="680"/>
      <c r="S25" s="680"/>
      <c r="T25" s="680"/>
      <c r="U25" s="680"/>
      <c r="V25" s="680" t="s">
        <v>394</v>
      </c>
      <c r="W25" s="695">
        <f>+W20*0.25</f>
        <v>1997.5</v>
      </c>
      <c r="X25" s="685" t="s">
        <v>37</v>
      </c>
      <c r="Y25" s="665">
        <v>30.37</v>
      </c>
      <c r="Z25" s="665">
        <f t="shared" si="22"/>
        <v>60664.075000000004</v>
      </c>
      <c r="AA25" s="667">
        <v>0</v>
      </c>
      <c r="AB25" s="665">
        <f t="shared" si="12"/>
        <v>0</v>
      </c>
      <c r="AC25" s="686">
        <f t="shared" si="23"/>
        <v>60664.075000000004</v>
      </c>
      <c r="AD25" s="683">
        <f t="shared" si="4"/>
        <v>-58064.075000000004</v>
      </c>
      <c r="AE25" s="696">
        <v>155835</v>
      </c>
      <c r="AF25" s="696">
        <v>3484776.4499999997</v>
      </c>
      <c r="AG25" s="697">
        <f>+AF25/AE25</f>
        <v>22.36196265280585</v>
      </c>
    </row>
    <row r="26" spans="1:33">
      <c r="A26" s="660"/>
      <c r="B26" s="690" t="s">
        <v>421</v>
      </c>
      <c r="C26" s="698"/>
      <c r="D26" s="676" t="s">
        <v>33</v>
      </c>
      <c r="E26" s="685"/>
      <c r="F26" s="665"/>
      <c r="G26" s="667"/>
      <c r="H26" s="667"/>
      <c r="I26" s="667">
        <v>0</v>
      </c>
      <c r="J26" s="667"/>
      <c r="K26" s="665"/>
      <c r="L26" s="665"/>
      <c r="M26" s="699"/>
      <c r="N26" s="699"/>
      <c r="O26" s="699"/>
      <c r="P26" s="699"/>
      <c r="Q26" s="699"/>
      <c r="R26" s="699"/>
      <c r="S26" s="699"/>
      <c r="T26" s="699"/>
      <c r="U26" s="699"/>
      <c r="V26" s="699"/>
      <c r="W26" s="681" t="s">
        <v>33</v>
      </c>
      <c r="X26" s="685"/>
      <c r="Y26" s="665"/>
      <c r="Z26" s="667">
        <v>0</v>
      </c>
      <c r="AA26" s="667"/>
      <c r="AB26" s="667">
        <v>0</v>
      </c>
      <c r="AC26" s="700">
        <v>0</v>
      </c>
      <c r="AD26" s="683">
        <f t="shared" si="4"/>
        <v>0</v>
      </c>
      <c r="AE26" s="696">
        <v>130036</v>
      </c>
      <c r="AF26" s="696">
        <v>3353982.2800000003</v>
      </c>
      <c r="AG26" s="697">
        <f>+AF26/AE26</f>
        <v>25.792721092620507</v>
      </c>
    </row>
    <row r="27" spans="1:33">
      <c r="A27" s="701"/>
      <c r="B27" s="661" t="s">
        <v>422</v>
      </c>
      <c r="C27" s="702"/>
      <c r="D27" s="703" t="s">
        <v>33</v>
      </c>
      <c r="E27" s="685"/>
      <c r="F27" s="665"/>
      <c r="G27" s="666"/>
      <c r="H27" s="667"/>
      <c r="I27" s="666"/>
      <c r="J27" s="669"/>
      <c r="K27" s="665"/>
      <c r="L27" s="665"/>
      <c r="M27" s="688"/>
      <c r="N27" s="688"/>
      <c r="O27" s="688"/>
      <c r="P27" s="688"/>
      <c r="Q27" s="688"/>
      <c r="R27" s="688"/>
      <c r="S27" s="688"/>
      <c r="T27" s="688"/>
      <c r="U27" s="688"/>
      <c r="V27" s="688"/>
      <c r="W27" s="704" t="s">
        <v>33</v>
      </c>
      <c r="X27" s="705"/>
      <c r="Y27" s="665"/>
      <c r="Z27" s="666"/>
      <c r="AA27" s="667"/>
      <c r="AB27" s="666"/>
      <c r="AC27" s="672"/>
      <c r="AD27" s="683">
        <f t="shared" si="4"/>
        <v>0</v>
      </c>
    </row>
    <row r="28" spans="1:33">
      <c r="A28" s="706"/>
      <c r="B28" s="707" t="s">
        <v>61</v>
      </c>
      <c r="C28" s="708"/>
      <c r="D28" s="676">
        <v>14</v>
      </c>
      <c r="E28" s="685" t="s">
        <v>471</v>
      </c>
      <c r="F28" s="665">
        <v>80</v>
      </c>
      <c r="G28" s="665">
        <f>D28*F28</f>
        <v>1120</v>
      </c>
      <c r="H28" s="667">
        <v>20</v>
      </c>
      <c r="I28" s="665">
        <f t="shared" ref="I28:I29" si="48">SUM(D28*H28)</f>
        <v>280</v>
      </c>
      <c r="J28" s="665">
        <f t="shared" ref="J28" si="49">I28+G28</f>
        <v>1400</v>
      </c>
      <c r="K28" s="665"/>
      <c r="L28" s="665">
        <f t="shared" si="6"/>
        <v>14.280000000000001</v>
      </c>
      <c r="M28" s="680"/>
      <c r="N28" s="680"/>
      <c r="O28" s="680"/>
      <c r="P28" s="680"/>
      <c r="Q28" s="680"/>
      <c r="R28" s="680"/>
      <c r="S28" s="680"/>
      <c r="T28" s="680"/>
      <c r="U28" s="680"/>
      <c r="V28" s="680" t="s">
        <v>394</v>
      </c>
      <c r="W28" s="681">
        <f>525+2400+40+700</f>
        <v>3665</v>
      </c>
      <c r="X28" s="669" t="s">
        <v>37</v>
      </c>
      <c r="Y28" s="709">
        <v>17.899999999999999</v>
      </c>
      <c r="Z28" s="665">
        <f>W28*Y28</f>
        <v>65603.5</v>
      </c>
      <c r="AA28" s="710">
        <v>4.0999999999999996</v>
      </c>
      <c r="AB28" s="665">
        <f t="shared" ref="AB28:AB29" si="50">SUM(W28*AA28)</f>
        <v>15026.499999999998</v>
      </c>
      <c r="AC28" s="686">
        <f t="shared" ref="AC28" si="51">AB28+Z28</f>
        <v>80630</v>
      </c>
      <c r="AD28" s="683">
        <f t="shared" si="4"/>
        <v>-79230</v>
      </c>
    </row>
    <row r="29" spans="1:33">
      <c r="A29" s="660"/>
      <c r="B29" s="707" t="s">
        <v>62</v>
      </c>
      <c r="C29" s="675"/>
      <c r="D29" s="676">
        <v>78</v>
      </c>
      <c r="E29" s="711" t="s">
        <v>471</v>
      </c>
      <c r="F29" s="678">
        <v>180</v>
      </c>
      <c r="G29" s="665">
        <f>D29*F29</f>
        <v>14040</v>
      </c>
      <c r="H29" s="679">
        <v>49</v>
      </c>
      <c r="I29" s="665">
        <f t="shared" si="48"/>
        <v>3822</v>
      </c>
      <c r="J29" s="665">
        <f>I29+G29</f>
        <v>17862</v>
      </c>
      <c r="K29" s="665"/>
      <c r="L29" s="665">
        <f t="shared" si="6"/>
        <v>79.56</v>
      </c>
      <c r="M29" s="680"/>
      <c r="N29" s="680"/>
      <c r="O29" s="680"/>
      <c r="P29" s="680"/>
      <c r="Q29" s="680"/>
      <c r="R29" s="680"/>
      <c r="S29" s="680"/>
      <c r="T29" s="680"/>
      <c r="U29" s="680"/>
      <c r="V29" s="680" t="s">
        <v>394</v>
      </c>
      <c r="W29" s="681">
        <f>37810+760+8500+500+100+2500</f>
        <v>50170</v>
      </c>
      <c r="X29" s="712" t="s">
        <v>37</v>
      </c>
      <c r="Y29" s="678">
        <v>16.760000000000002</v>
      </c>
      <c r="Z29" s="665">
        <f>W29*Y29</f>
        <v>840849.20000000007</v>
      </c>
      <c r="AA29" s="679">
        <v>4.0999999999999996</v>
      </c>
      <c r="AB29" s="665">
        <f t="shared" si="50"/>
        <v>205696.99999999997</v>
      </c>
      <c r="AC29" s="686">
        <f>AB29+Z29</f>
        <v>1046546.2000000001</v>
      </c>
      <c r="AD29" s="683">
        <f t="shared" si="4"/>
        <v>-1028684.2000000001</v>
      </c>
    </row>
    <row r="30" spans="1:33">
      <c r="A30" s="660"/>
      <c r="B30" s="690" t="s">
        <v>423</v>
      </c>
      <c r="C30" s="684"/>
      <c r="D30" s="676"/>
      <c r="E30" s="685"/>
      <c r="F30" s="687"/>
      <c r="G30" s="665"/>
      <c r="H30" s="667"/>
      <c r="I30" s="665"/>
      <c r="J30" s="665"/>
      <c r="K30" s="665"/>
      <c r="L30" s="665">
        <f t="shared" si="6"/>
        <v>0</v>
      </c>
      <c r="M30" s="688"/>
      <c r="N30" s="688"/>
      <c r="O30" s="688"/>
      <c r="P30" s="688"/>
      <c r="Q30" s="688"/>
      <c r="R30" s="688"/>
      <c r="S30" s="688"/>
      <c r="T30" s="688"/>
      <c r="U30" s="688"/>
      <c r="V30" s="688"/>
      <c r="W30" s="681"/>
      <c r="X30" s="685"/>
      <c r="Y30" s="687"/>
      <c r="Z30" s="665"/>
      <c r="AA30" s="667"/>
      <c r="AB30" s="665"/>
      <c r="AC30" s="686"/>
      <c r="AD30" s="683">
        <f t="shared" si="4"/>
        <v>0</v>
      </c>
    </row>
    <row r="31" spans="1:33">
      <c r="A31" s="674"/>
      <c r="B31" s="713" t="s">
        <v>63</v>
      </c>
      <c r="C31" s="684"/>
      <c r="D31" s="676">
        <v>247</v>
      </c>
      <c r="E31" s="685" t="s">
        <v>471</v>
      </c>
      <c r="F31" s="687">
        <v>270</v>
      </c>
      <c r="G31" s="665">
        <f>D31*F31</f>
        <v>66690</v>
      </c>
      <c r="H31" s="667">
        <v>150</v>
      </c>
      <c r="I31" s="665">
        <f t="shared" ref="I31" si="52">SUM(D31*H31)</f>
        <v>37050</v>
      </c>
      <c r="J31" s="665">
        <f t="shared" ref="J31:J32" si="53">I31+G31</f>
        <v>103740</v>
      </c>
      <c r="K31" s="665"/>
      <c r="L31" s="665">
        <f>D31/78*70</f>
        <v>221.66666666666666</v>
      </c>
      <c r="M31" s="680"/>
      <c r="N31" s="680"/>
      <c r="O31" s="680"/>
      <c r="P31" s="680"/>
      <c r="Q31" s="680"/>
      <c r="R31" s="680"/>
      <c r="S31" s="680"/>
      <c r="T31" s="680"/>
      <c r="U31" s="680"/>
      <c r="V31" s="680" t="s">
        <v>394</v>
      </c>
      <c r="W31" s="681">
        <f>45400+400+210+200</f>
        <v>46210</v>
      </c>
      <c r="X31" s="685" t="s">
        <v>37</v>
      </c>
      <c r="Y31" s="687">
        <v>14.88</v>
      </c>
      <c r="Z31" s="665">
        <f>W31*Y31</f>
        <v>687604.8</v>
      </c>
      <c r="AA31" s="667">
        <v>3.3</v>
      </c>
      <c r="AB31" s="665">
        <f t="shared" ref="AB31" si="54">SUM(W31*AA31)</f>
        <v>152493</v>
      </c>
      <c r="AC31" s="686">
        <f t="shared" ref="AC31:AC32" si="55">AB31+Z31</f>
        <v>840097.8</v>
      </c>
      <c r="AD31" s="683">
        <f t="shared" si="4"/>
        <v>-736357.8</v>
      </c>
    </row>
    <row r="32" spans="1:33">
      <c r="A32" s="660"/>
      <c r="B32" s="661" t="s">
        <v>424</v>
      </c>
      <c r="C32" s="684"/>
      <c r="D32" s="676">
        <v>50</v>
      </c>
      <c r="E32" s="685" t="s">
        <v>472</v>
      </c>
      <c r="F32" s="687">
        <v>100</v>
      </c>
      <c r="G32" s="665">
        <f t="shared" ref="G32" si="56">D32*F32</f>
        <v>5000</v>
      </c>
      <c r="H32" s="667"/>
      <c r="I32" s="665">
        <f>SUM(D32*H32)</f>
        <v>0</v>
      </c>
      <c r="J32" s="665">
        <f t="shared" si="53"/>
        <v>5000</v>
      </c>
      <c r="K32" s="680"/>
      <c r="L32" s="665"/>
      <c r="M32" s="680"/>
      <c r="N32" s="680"/>
      <c r="O32" s="680"/>
      <c r="P32" s="680"/>
      <c r="Q32" s="680"/>
      <c r="R32" s="680"/>
      <c r="S32" s="680"/>
      <c r="T32" s="680"/>
      <c r="U32" s="680"/>
      <c r="V32" s="680" t="s">
        <v>395</v>
      </c>
      <c r="W32" s="681" t="e">
        <f>ROUND(+(W28+W29+W31+#REF!+#REF!)/1000*30,0)</f>
        <v>#REF!</v>
      </c>
      <c r="X32" s="685" t="s">
        <v>37</v>
      </c>
      <c r="Y32" s="687">
        <v>35.049999999999997</v>
      </c>
      <c r="Z32" s="665" t="e">
        <f t="shared" ref="Z32" si="57">W32*Y32</f>
        <v>#REF!</v>
      </c>
      <c r="AA32" s="667">
        <v>0</v>
      </c>
      <c r="AB32" s="665" t="e">
        <f>SUM(W32*AA32)</f>
        <v>#REF!</v>
      </c>
      <c r="AC32" s="686" t="e">
        <f t="shared" si="55"/>
        <v>#REF!</v>
      </c>
      <c r="AD32" s="683" t="e">
        <f t="shared" si="4"/>
        <v>#REF!</v>
      </c>
    </row>
    <row r="33" spans="1:30">
      <c r="A33" s="660"/>
      <c r="B33" s="661" t="s">
        <v>425</v>
      </c>
      <c r="C33" s="684"/>
      <c r="D33" s="676" t="s">
        <v>33</v>
      </c>
      <c r="E33" s="685"/>
      <c r="F33" s="687"/>
      <c r="G33" s="665"/>
      <c r="H33" s="667"/>
      <c r="I33" s="665"/>
      <c r="J33" s="665"/>
      <c r="K33" s="717"/>
      <c r="L33" s="665"/>
      <c r="M33" s="717"/>
      <c r="N33" s="717"/>
      <c r="O33" s="717"/>
      <c r="P33" s="717"/>
      <c r="Q33" s="717"/>
      <c r="R33" s="717"/>
      <c r="S33" s="717"/>
      <c r="T33" s="717"/>
      <c r="U33" s="717"/>
      <c r="V33" s="717"/>
      <c r="W33" s="681" t="s">
        <v>33</v>
      </c>
      <c r="X33" s="685"/>
      <c r="Y33" s="687"/>
      <c r="Z33" s="665"/>
      <c r="AA33" s="667"/>
      <c r="AB33" s="665"/>
      <c r="AC33" s="686"/>
      <c r="AD33" s="683">
        <f t="shared" si="4"/>
        <v>0</v>
      </c>
    </row>
    <row r="34" spans="1:30">
      <c r="A34" s="692"/>
      <c r="B34" s="661" t="s">
        <v>505</v>
      </c>
      <c r="C34" s="684"/>
      <c r="D34" s="676">
        <v>138</v>
      </c>
      <c r="E34" s="685" t="s">
        <v>16</v>
      </c>
      <c r="F34" s="687">
        <v>300</v>
      </c>
      <c r="G34" s="665">
        <f t="shared" ref="G34:G35" si="58">D34*F34</f>
        <v>41400</v>
      </c>
      <c r="H34" s="667">
        <v>250</v>
      </c>
      <c r="I34" s="665">
        <f t="shared" ref="I34:I35" si="59">SUM(D34*H34)</f>
        <v>34500</v>
      </c>
      <c r="J34" s="665">
        <f t="shared" ref="J34:J35" si="60">I34+G34</f>
        <v>75900</v>
      </c>
      <c r="K34" s="680"/>
      <c r="L34" s="665"/>
      <c r="M34" s="680"/>
      <c r="N34" s="680"/>
      <c r="O34" s="680"/>
      <c r="P34" s="680"/>
      <c r="Q34" s="680"/>
      <c r="R34" s="680"/>
      <c r="S34" s="680"/>
      <c r="T34" s="680"/>
      <c r="U34" s="680"/>
      <c r="V34" s="680" t="s">
        <v>396</v>
      </c>
      <c r="W34" s="681">
        <v>3200</v>
      </c>
      <c r="X34" s="685" t="s">
        <v>16</v>
      </c>
      <c r="Y34" s="687">
        <v>204</v>
      </c>
      <c r="Z34" s="665">
        <f t="shared" ref="Z34:Z35" si="61">W34*Y34</f>
        <v>652800</v>
      </c>
      <c r="AA34" s="667">
        <v>25</v>
      </c>
      <c r="AB34" s="665">
        <f t="shared" ref="AB34:AB35" si="62">SUM(W34*AA34)</f>
        <v>80000</v>
      </c>
      <c r="AC34" s="686">
        <f t="shared" ref="AC34:AC35" si="63">AB34+Z34</f>
        <v>732800</v>
      </c>
      <c r="AD34" s="683">
        <f t="shared" si="4"/>
        <v>-656900</v>
      </c>
    </row>
    <row r="35" spans="1:30">
      <c r="A35" s="718"/>
      <c r="B35" s="719" t="s">
        <v>426</v>
      </c>
      <c r="C35" s="720"/>
      <c r="D35" s="665">
        <v>2</v>
      </c>
      <c r="E35" s="722" t="s">
        <v>329</v>
      </c>
      <c r="F35" s="723">
        <v>3700</v>
      </c>
      <c r="G35" s="665">
        <f t="shared" si="58"/>
        <v>7400</v>
      </c>
      <c r="H35" s="724">
        <v>750</v>
      </c>
      <c r="I35" s="665">
        <f t="shared" si="59"/>
        <v>1500</v>
      </c>
      <c r="J35" s="665">
        <f t="shared" si="60"/>
        <v>8900</v>
      </c>
      <c r="K35" s="680"/>
      <c r="L35" s="665" t="e">
        <f>(G34+#REF!+G35)/220</f>
        <v>#REF!</v>
      </c>
      <c r="M35" s="680"/>
      <c r="N35" s="680"/>
      <c r="O35" s="680"/>
      <c r="P35" s="680"/>
      <c r="Q35" s="680"/>
      <c r="R35" s="680"/>
      <c r="S35" s="680"/>
      <c r="T35" s="680"/>
      <c r="U35" s="680"/>
      <c r="V35" s="680" t="s">
        <v>394</v>
      </c>
      <c r="W35" s="725">
        <v>3200</v>
      </c>
      <c r="X35" s="722" t="s">
        <v>16</v>
      </c>
      <c r="Y35" s="723">
        <v>30</v>
      </c>
      <c r="Z35" s="665">
        <f t="shared" si="61"/>
        <v>96000</v>
      </c>
      <c r="AA35" s="724">
        <v>5</v>
      </c>
      <c r="AB35" s="665">
        <f t="shared" si="62"/>
        <v>16000</v>
      </c>
      <c r="AC35" s="686">
        <f t="shared" si="63"/>
        <v>112000</v>
      </c>
      <c r="AD35" s="726">
        <f t="shared" si="4"/>
        <v>-103100</v>
      </c>
    </row>
    <row r="36" spans="1:30">
      <c r="A36" s="646"/>
      <c r="B36" s="647" t="s">
        <v>65</v>
      </c>
      <c r="C36" s="708"/>
      <c r="D36" s="727"/>
      <c r="E36" s="728"/>
      <c r="F36" s="729"/>
      <c r="G36" s="730">
        <f>SUM(G9:G35)</f>
        <v>296630</v>
      </c>
      <c r="H36" s="731"/>
      <c r="I36" s="730">
        <f>SUM(I9:I35)</f>
        <v>153391</v>
      </c>
      <c r="J36" s="730">
        <f>SUM(J9:J35)</f>
        <v>450021</v>
      </c>
      <c r="K36" s="732"/>
      <c r="L36" s="732"/>
      <c r="M36" s="732"/>
      <c r="N36" s="732"/>
      <c r="O36" s="732"/>
      <c r="P36" s="732"/>
      <c r="Q36" s="732"/>
      <c r="R36" s="732"/>
      <c r="S36" s="732"/>
      <c r="T36" s="732"/>
      <c r="U36" s="732"/>
      <c r="V36" s="732"/>
      <c r="W36" s="733"/>
      <c r="X36" s="734"/>
      <c r="Y36" s="729"/>
      <c r="Z36" s="730" t="e">
        <f>SUM(Z9:Z35)</f>
        <v>#REF!</v>
      </c>
      <c r="AA36" s="731"/>
      <c r="AB36" s="730" t="e">
        <f>SUM(AB9:AB35)</f>
        <v>#REF!</v>
      </c>
      <c r="AC36" s="735" t="e">
        <f>SUM(AC8:AC35)</f>
        <v>#REF!</v>
      </c>
      <c r="AD36" s="736" t="e">
        <f t="shared" si="4"/>
        <v>#REF!</v>
      </c>
    </row>
    <row r="37" spans="1:30">
      <c r="A37" s="674">
        <v>1.3</v>
      </c>
      <c r="B37" s="737" t="s">
        <v>68</v>
      </c>
      <c r="C37" s="675"/>
      <c r="D37" s="738"/>
      <c r="E37" s="711"/>
      <c r="F37" s="678"/>
      <c r="G37" s="682"/>
      <c r="H37" s="679"/>
      <c r="I37" s="682"/>
      <c r="J37" s="739"/>
      <c r="K37" s="740"/>
    </row>
    <row r="38" spans="1:30">
      <c r="A38" s="660"/>
      <c r="B38" s="741" t="s">
        <v>66</v>
      </c>
      <c r="C38" s="684"/>
      <c r="D38" s="665"/>
      <c r="E38" s="685"/>
      <c r="F38" s="665"/>
      <c r="G38" s="665">
        <f t="shared" ref="G38:G43" si="64">D38*F38</f>
        <v>0</v>
      </c>
      <c r="H38" s="716"/>
      <c r="I38" s="665">
        <f t="shared" ref="I38:I43" si="65">SUM(D38*H38)</f>
        <v>0</v>
      </c>
      <c r="J38" s="665">
        <f t="shared" ref="J38" si="66">I38+G38</f>
        <v>0</v>
      </c>
      <c r="K38" s="688"/>
    </row>
    <row r="39" spans="1:30" s="750" customFormat="1">
      <c r="A39" s="742"/>
      <c r="B39" s="743" t="s">
        <v>506</v>
      </c>
      <c r="C39" s="744"/>
      <c r="D39" s="745"/>
      <c r="E39" s="746"/>
      <c r="F39" s="747"/>
      <c r="G39" s="748"/>
      <c r="H39" s="745"/>
      <c r="I39" s="748"/>
      <c r="J39" s="748"/>
      <c r="K39" s="749"/>
      <c r="M39" s="751">
        <v>450</v>
      </c>
      <c r="N39" s="745">
        <v>14393.75</v>
      </c>
      <c r="O39" s="750">
        <v>24.39</v>
      </c>
    </row>
    <row r="40" spans="1:30" s="750" customFormat="1">
      <c r="A40" s="742"/>
      <c r="B40" s="743" t="s">
        <v>445</v>
      </c>
      <c r="C40" s="744"/>
      <c r="D40" s="745">
        <v>93</v>
      </c>
      <c r="E40" s="746" t="s">
        <v>191</v>
      </c>
      <c r="F40" s="747">
        <v>800</v>
      </c>
      <c r="G40" s="748">
        <f t="shared" ref="G40:G41" si="67">D40*F40</f>
        <v>74400</v>
      </c>
      <c r="H40" s="745">
        <v>150</v>
      </c>
      <c r="I40" s="748">
        <f t="shared" ref="I40:I41" si="68">SUM(D40*H40)</f>
        <v>13950</v>
      </c>
      <c r="J40" s="748">
        <f t="shared" ref="J40:J41" si="69">I40+G40</f>
        <v>88350</v>
      </c>
      <c r="K40" s="749"/>
      <c r="M40" s="751">
        <v>450</v>
      </c>
      <c r="N40" s="745">
        <v>14393.75</v>
      </c>
      <c r="O40" s="750">
        <v>24.39</v>
      </c>
    </row>
    <row r="41" spans="1:30" s="750" customFormat="1">
      <c r="A41" s="742"/>
      <c r="B41" s="743" t="s">
        <v>473</v>
      </c>
      <c r="C41" s="744"/>
      <c r="D41" s="745">
        <v>155</v>
      </c>
      <c r="E41" s="746" t="s">
        <v>191</v>
      </c>
      <c r="F41" s="747">
        <v>175</v>
      </c>
      <c r="G41" s="748">
        <f t="shared" si="67"/>
        <v>27125</v>
      </c>
      <c r="H41" s="745">
        <v>25</v>
      </c>
      <c r="I41" s="748">
        <f t="shared" si="68"/>
        <v>3875</v>
      </c>
      <c r="J41" s="748">
        <f t="shared" si="69"/>
        <v>31000</v>
      </c>
      <c r="K41" s="749"/>
      <c r="M41" s="751"/>
      <c r="N41" s="745">
        <v>14393.75</v>
      </c>
    </row>
    <row r="42" spans="1:30" s="750" customFormat="1" hidden="1">
      <c r="A42" s="742"/>
      <c r="B42" s="743" t="s">
        <v>443</v>
      </c>
      <c r="C42" s="744"/>
      <c r="D42" s="745"/>
      <c r="E42" s="746" t="s">
        <v>191</v>
      </c>
      <c r="F42" s="747"/>
      <c r="G42" s="748">
        <f t="shared" si="64"/>
        <v>0</v>
      </c>
      <c r="H42" s="745"/>
      <c r="I42" s="748">
        <f t="shared" si="65"/>
        <v>0</v>
      </c>
      <c r="J42" s="748">
        <f t="shared" ref="J42:J43" si="70">I42+G42</f>
        <v>0</v>
      </c>
      <c r="K42" s="749"/>
      <c r="M42" s="751"/>
      <c r="N42" s="745">
        <v>14393.75</v>
      </c>
    </row>
    <row r="43" spans="1:30" hidden="1">
      <c r="A43" s="660"/>
      <c r="B43" s="741" t="s">
        <v>435</v>
      </c>
      <c r="C43" s="684"/>
      <c r="D43" s="667">
        <v>0</v>
      </c>
      <c r="E43" s="685" t="s">
        <v>191</v>
      </c>
      <c r="F43" s="752"/>
      <c r="G43" s="665">
        <f t="shared" si="64"/>
        <v>0</v>
      </c>
      <c r="H43" s="667"/>
      <c r="I43" s="665">
        <f t="shared" si="65"/>
        <v>0</v>
      </c>
      <c r="J43" s="665">
        <f t="shared" si="70"/>
        <v>0</v>
      </c>
      <c r="K43" s="680"/>
      <c r="N43" s="667"/>
    </row>
    <row r="44" spans="1:30">
      <c r="A44" s="660"/>
      <c r="B44" s="741" t="s">
        <v>189</v>
      </c>
      <c r="C44" s="684"/>
      <c r="D44" s="667">
        <v>230</v>
      </c>
      <c r="E44" s="685" t="s">
        <v>16</v>
      </c>
      <c r="F44" s="752">
        <v>0</v>
      </c>
      <c r="G44" s="665">
        <f t="shared" ref="G44" si="71">D44*F44</f>
        <v>0</v>
      </c>
      <c r="H44" s="667">
        <v>150</v>
      </c>
      <c r="I44" s="665">
        <f t="shared" ref="I44" si="72">SUM(D44*H44)</f>
        <v>34500</v>
      </c>
      <c r="J44" s="665">
        <f t="shared" ref="J44" si="73">I44+G44</f>
        <v>34500</v>
      </c>
      <c r="K44" s="680"/>
    </row>
    <row r="45" spans="1:30">
      <c r="A45" s="660"/>
      <c r="B45" s="741"/>
      <c r="C45" s="684"/>
      <c r="D45" s="667"/>
      <c r="E45" s="685"/>
      <c r="F45" s="752"/>
      <c r="G45" s="665"/>
      <c r="H45" s="667"/>
      <c r="I45" s="665"/>
      <c r="J45" s="665"/>
      <c r="K45" s="680"/>
    </row>
    <row r="46" spans="1:30">
      <c r="A46" s="660"/>
      <c r="B46" s="741" t="s">
        <v>190</v>
      </c>
      <c r="C46" s="684"/>
      <c r="D46" s="665">
        <v>110</v>
      </c>
      <c r="E46" s="685" t="s">
        <v>16</v>
      </c>
      <c r="F46" s="665">
        <v>50</v>
      </c>
      <c r="G46" s="665">
        <f t="shared" ref="G46" si="74">D46*F46</f>
        <v>5500</v>
      </c>
      <c r="H46" s="716">
        <v>50</v>
      </c>
      <c r="I46" s="665">
        <f t="shared" ref="I46" si="75">SUM(D46*H46)</f>
        <v>5500</v>
      </c>
      <c r="J46" s="665">
        <f t="shared" ref="J46" si="76">I46+G46</f>
        <v>11000</v>
      </c>
      <c r="K46" s="753"/>
    </row>
    <row r="47" spans="1:30">
      <c r="A47" s="754"/>
      <c r="B47" s="741"/>
      <c r="C47" s="684"/>
      <c r="D47" s="665"/>
      <c r="E47" s="685"/>
      <c r="F47" s="687"/>
      <c r="G47" s="665">
        <f t="shared" ref="G47" si="77">D47*F47</f>
        <v>0</v>
      </c>
      <c r="H47" s="716"/>
      <c r="I47" s="665">
        <f t="shared" ref="I47" si="78">SUM(D47*H47)</f>
        <v>0</v>
      </c>
      <c r="J47" s="665">
        <f t="shared" ref="J47" si="79">I47+G47</f>
        <v>0</v>
      </c>
      <c r="K47" s="688"/>
    </row>
    <row r="48" spans="1:30">
      <c r="A48" s="755"/>
      <c r="B48" s="647" t="s">
        <v>69</v>
      </c>
      <c r="C48" s="708"/>
      <c r="D48" s="727"/>
      <c r="E48" s="728"/>
      <c r="F48" s="729"/>
      <c r="G48" s="730">
        <f>SUM(G39:G47)</f>
        <v>107025</v>
      </c>
      <c r="H48" s="731"/>
      <c r="I48" s="730">
        <f>SUM(I39:I47)</f>
        <v>57825</v>
      </c>
      <c r="J48" s="730">
        <f>SUM(J39:J47)</f>
        <v>164850</v>
      </c>
      <c r="K48" s="732"/>
    </row>
    <row r="49" spans="1:12">
      <c r="A49" s="674">
        <v>1.4</v>
      </c>
      <c r="B49" s="741" t="s">
        <v>131</v>
      </c>
      <c r="C49" s="756"/>
      <c r="D49" s="676">
        <v>148</v>
      </c>
      <c r="E49" s="677" t="s">
        <v>16</v>
      </c>
      <c r="F49" s="665">
        <v>100</v>
      </c>
      <c r="G49" s="665">
        <f t="shared" ref="G49" si="80">D49*F49</f>
        <v>14800</v>
      </c>
      <c r="H49" s="667"/>
      <c r="I49" s="665">
        <f t="shared" ref="I49" si="81">SUM(D49*H49)</f>
        <v>0</v>
      </c>
      <c r="J49" s="665">
        <f t="shared" ref="J49" si="82">I49+G49</f>
        <v>14800</v>
      </c>
      <c r="K49" s="680"/>
    </row>
    <row r="50" spans="1:12">
      <c r="A50" s="757"/>
      <c r="B50" s="758"/>
      <c r="C50" s="759"/>
      <c r="D50" s="760"/>
      <c r="E50" s="761"/>
      <c r="F50" s="762"/>
      <c r="G50" s="763"/>
      <c r="H50" s="764"/>
      <c r="I50" s="763"/>
      <c r="J50" s="762"/>
      <c r="K50" s="765"/>
    </row>
    <row r="51" spans="1:12">
      <c r="A51" s="755"/>
      <c r="B51" s="647" t="s">
        <v>266</v>
      </c>
      <c r="C51" s="708"/>
      <c r="D51" s="727"/>
      <c r="E51" s="728"/>
      <c r="F51" s="729"/>
      <c r="G51" s="730">
        <f>SUM(G49:G50)</f>
        <v>14800</v>
      </c>
      <c r="H51" s="731"/>
      <c r="I51" s="730">
        <f>SUM(I49:I50)</f>
        <v>0</v>
      </c>
      <c r="J51" s="729">
        <f>SUM(J49:J50)</f>
        <v>14800</v>
      </c>
      <c r="K51" s="732"/>
      <c r="L51" s="642">
        <f>J52/115</f>
        <v>5475.4</v>
      </c>
    </row>
    <row r="52" spans="1:12">
      <c r="A52" s="755"/>
      <c r="B52" s="647" t="s">
        <v>64</v>
      </c>
      <c r="C52" s="708"/>
      <c r="D52" s="727"/>
      <c r="E52" s="728"/>
      <c r="F52" s="729"/>
      <c r="G52" s="729">
        <f>G51+G48+G36</f>
        <v>418455</v>
      </c>
      <c r="H52" s="729"/>
      <c r="I52" s="729">
        <f>I51+I48+I36</f>
        <v>211216</v>
      </c>
      <c r="J52" s="729">
        <f>J51+J48+J36</f>
        <v>629671</v>
      </c>
      <c r="K52" s="732"/>
    </row>
  </sheetData>
  <mergeCells count="11">
    <mergeCell ref="J3:K3"/>
    <mergeCell ref="D4:F4"/>
    <mergeCell ref="A5:A6"/>
    <mergeCell ref="B5:B6"/>
    <mergeCell ref="C5:C6"/>
    <mergeCell ref="E5:E6"/>
    <mergeCell ref="F5:G5"/>
    <mergeCell ref="H5:I5"/>
    <mergeCell ref="J5:J6"/>
    <mergeCell ref="D5:D6"/>
    <mergeCell ref="K5:K6"/>
  </mergeCells>
  <phoneticPr fontId="3" type="noConversion"/>
  <printOptions horizontalCentered="1"/>
  <pageMargins left="0.27559055118110237" right="0.23622047244094491" top="0.23622047244094491" bottom="0.39370078740157483" header="0.15748031496062992" footer="0.15748031496062992"/>
  <pageSetup paperSize="9" scale="60" orientation="portrait" r:id="rId1"/>
  <headerFooter alignWithMargins="0">
    <oddFooter>&amp;R&amp;"Browallia New,ธรรมดา"&amp;11แผ่นที่ &amp;P รวม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595"/>
  <sheetViews>
    <sheetView showGridLines="0" showZeros="0" view="pageBreakPreview" topLeftCell="A61" zoomScaleSheetLayoutView="100" workbookViewId="0">
      <selection activeCell="H75" sqref="H75"/>
    </sheetView>
  </sheetViews>
  <sheetFormatPr defaultRowHeight="24"/>
  <cols>
    <col min="1" max="1" width="5.625" style="766" customWidth="1"/>
    <col min="2" max="2" width="51.625" style="767" customWidth="1"/>
    <col min="3" max="3" width="6.875" style="766" hidden="1" customWidth="1"/>
    <col min="4" max="4" width="10.625" style="1203" customWidth="1"/>
    <col min="5" max="5" width="6.5" style="768" customWidth="1"/>
    <col min="6" max="6" width="12" style="1204" customWidth="1"/>
    <col min="7" max="7" width="14.875" style="770" customWidth="1"/>
    <col min="8" max="8" width="12" style="771" customWidth="1"/>
    <col min="9" max="9" width="12.5" style="770" customWidth="1"/>
    <col min="10" max="10" width="14" style="770" customWidth="1"/>
    <col min="11" max="11" width="11.25" style="767" customWidth="1"/>
    <col min="12" max="16384" width="9" style="642"/>
  </cols>
  <sheetData>
    <row r="1" spans="1:11" s="626" customFormat="1">
      <c r="A1" s="620" t="s">
        <v>439</v>
      </c>
      <c r="B1" s="621"/>
      <c r="C1" s="622"/>
      <c r="D1" s="773"/>
      <c r="E1" s="622"/>
      <c r="F1" s="774"/>
      <c r="G1" s="623"/>
      <c r="H1" s="775"/>
      <c r="I1" s="623"/>
      <c r="J1" s="624" t="s">
        <v>22</v>
      </c>
      <c r="K1" s="776"/>
    </row>
    <row r="2" spans="1:11" s="626" customFormat="1">
      <c r="A2" s="620" t="s">
        <v>454</v>
      </c>
      <c r="B2" s="627"/>
      <c r="C2" s="628"/>
      <c r="D2" s="628"/>
      <c r="E2" s="622" t="s">
        <v>23</v>
      </c>
      <c r="F2" s="774"/>
      <c r="G2" s="623"/>
      <c r="H2" s="775"/>
      <c r="I2" s="629"/>
      <c r="J2" s="630" t="s">
        <v>24</v>
      </c>
      <c r="K2" s="777"/>
    </row>
    <row r="3" spans="1:11" s="626" customFormat="1" ht="19.5" customHeight="1">
      <c r="A3" s="620" t="s">
        <v>431</v>
      </c>
      <c r="B3" s="627"/>
      <c r="C3" s="632"/>
      <c r="D3" s="773"/>
      <c r="E3" s="633" t="s">
        <v>21</v>
      </c>
      <c r="F3" s="778"/>
      <c r="G3" s="635">
        <f>ปร.5!F9</f>
        <v>44502</v>
      </c>
      <c r="H3" s="779"/>
      <c r="I3" s="637"/>
      <c r="J3" s="1299"/>
      <c r="K3" s="1299"/>
    </row>
    <row r="4" spans="1:11" s="626" customFormat="1" ht="19.5" customHeight="1">
      <c r="A4" s="638"/>
      <c r="B4" s="639"/>
      <c r="C4" s="638"/>
      <c r="D4" s="1309" t="s">
        <v>27</v>
      </c>
      <c r="E4" s="1309"/>
      <c r="F4" s="1309"/>
      <c r="G4" s="640"/>
      <c r="H4" s="770"/>
      <c r="I4" s="640"/>
      <c r="J4" s="640"/>
      <c r="K4" s="639"/>
    </row>
    <row r="5" spans="1:11" ht="19.5" customHeight="1">
      <c r="A5" s="1310" t="s">
        <v>7</v>
      </c>
      <c r="B5" s="1311" t="s">
        <v>18</v>
      </c>
      <c r="C5" s="1312" t="s">
        <v>14</v>
      </c>
      <c r="D5" s="1313" t="s">
        <v>14</v>
      </c>
      <c r="E5" s="1310" t="s">
        <v>13</v>
      </c>
      <c r="F5" s="1314" t="s">
        <v>8</v>
      </c>
      <c r="G5" s="1314"/>
      <c r="H5" s="1314" t="s">
        <v>9</v>
      </c>
      <c r="I5" s="1314"/>
      <c r="J5" s="1315" t="s">
        <v>10</v>
      </c>
      <c r="K5" s="1317" t="s">
        <v>15</v>
      </c>
    </row>
    <row r="6" spans="1:11">
      <c r="A6" s="1310"/>
      <c r="B6" s="1311"/>
      <c r="C6" s="1312"/>
      <c r="D6" s="1313"/>
      <c r="E6" s="1310"/>
      <c r="F6" s="780" t="s">
        <v>11</v>
      </c>
      <c r="G6" s="644" t="s">
        <v>12</v>
      </c>
      <c r="H6" s="645" t="s">
        <v>11</v>
      </c>
      <c r="I6" s="644" t="s">
        <v>12</v>
      </c>
      <c r="J6" s="1316"/>
      <c r="K6" s="1317"/>
    </row>
    <row r="7" spans="1:11">
      <c r="A7" s="646">
        <v>2</v>
      </c>
      <c r="B7" s="647" t="s">
        <v>27</v>
      </c>
      <c r="C7" s="648"/>
      <c r="D7" s="727"/>
      <c r="E7" s="781"/>
      <c r="F7" s="736"/>
      <c r="G7" s="782"/>
      <c r="H7" s="783"/>
      <c r="I7" s="784"/>
      <c r="J7" s="734"/>
      <c r="K7" s="785"/>
    </row>
    <row r="8" spans="1:11">
      <c r="A8" s="706">
        <v>2.1</v>
      </c>
      <c r="B8" s="786" t="s">
        <v>1</v>
      </c>
      <c r="C8" s="675"/>
      <c r="D8" s="694"/>
      <c r="E8" s="664"/>
      <c r="F8" s="665"/>
      <c r="G8" s="665">
        <f>D8*F8</f>
        <v>0</v>
      </c>
      <c r="H8" s="667"/>
      <c r="I8" s="665">
        <f>SUM(D8*H8)</f>
        <v>0</v>
      </c>
      <c r="J8" s="665">
        <f t="shared" ref="J8:J26" si="0">I8+G8</f>
        <v>0</v>
      </c>
      <c r="K8" s="787"/>
    </row>
    <row r="9" spans="1:11">
      <c r="A9" s="660"/>
      <c r="B9" s="788" t="s">
        <v>474</v>
      </c>
      <c r="C9" s="684"/>
      <c r="D9" s="676">
        <v>380</v>
      </c>
      <c r="E9" s="685" t="s">
        <v>16</v>
      </c>
      <c r="F9" s="665"/>
      <c r="G9" s="665">
        <f t="shared" ref="G9:G22" si="1">D9*F9</f>
        <v>0</v>
      </c>
      <c r="H9" s="789">
        <v>100</v>
      </c>
      <c r="I9" s="665">
        <f>SUM(D9*H9)</f>
        <v>38000</v>
      </c>
      <c r="J9" s="665">
        <f t="shared" si="0"/>
        <v>38000</v>
      </c>
      <c r="K9" s="680"/>
    </row>
    <row r="10" spans="1:11">
      <c r="A10" s="660"/>
      <c r="B10" s="788" t="s">
        <v>507</v>
      </c>
      <c r="C10" s="684"/>
      <c r="D10" s="676">
        <v>15315</v>
      </c>
      <c r="E10" s="685" t="s">
        <v>475</v>
      </c>
      <c r="F10" s="665">
        <v>2.5</v>
      </c>
      <c r="G10" s="665">
        <f t="shared" si="1"/>
        <v>38287.5</v>
      </c>
      <c r="H10" s="789"/>
      <c r="I10" s="665">
        <f t="shared" ref="I10:I22" si="2">SUM(D10*H10)</f>
        <v>0</v>
      </c>
      <c r="J10" s="665">
        <f t="shared" si="0"/>
        <v>38287.5</v>
      </c>
      <c r="K10" s="680"/>
    </row>
    <row r="11" spans="1:11">
      <c r="A11" s="660"/>
      <c r="B11" s="788" t="s">
        <v>476</v>
      </c>
      <c r="C11" s="684"/>
      <c r="D11" s="676">
        <v>120</v>
      </c>
      <c r="E11" s="685" t="s">
        <v>477</v>
      </c>
      <c r="F11" s="665">
        <v>120</v>
      </c>
      <c r="G11" s="665">
        <f t="shared" ref="G11" si="3">D11*F11</f>
        <v>14400</v>
      </c>
      <c r="H11" s="789"/>
      <c r="I11" s="665">
        <f t="shared" ref="I11" si="4">SUM(D11*H11)</f>
        <v>0</v>
      </c>
      <c r="J11" s="665">
        <f t="shared" ref="J11" si="5">I11+G11</f>
        <v>14400</v>
      </c>
      <c r="K11" s="680"/>
    </row>
    <row r="12" spans="1:11">
      <c r="A12" s="660"/>
      <c r="B12" s="788" t="s">
        <v>499</v>
      </c>
      <c r="C12" s="684"/>
      <c r="D12" s="676">
        <v>12</v>
      </c>
      <c r="E12" s="685" t="s">
        <v>36</v>
      </c>
      <c r="F12" s="665">
        <v>400</v>
      </c>
      <c r="G12" s="665">
        <f t="shared" ref="G12" si="6">D12*F12</f>
        <v>4800</v>
      </c>
      <c r="H12" s="789">
        <v>50</v>
      </c>
      <c r="I12" s="665">
        <f t="shared" ref="I12" si="7">SUM(D12*H12)</f>
        <v>600</v>
      </c>
      <c r="J12" s="665">
        <f t="shared" ref="J12" si="8">I12+G12</f>
        <v>5400</v>
      </c>
      <c r="K12" s="680"/>
    </row>
    <row r="13" spans="1:11">
      <c r="A13" s="660"/>
      <c r="B13" s="661" t="s">
        <v>427</v>
      </c>
      <c r="C13" s="684" t="e">
        <f>+#REF!</f>
        <v>#REF!</v>
      </c>
      <c r="D13" s="676">
        <v>760</v>
      </c>
      <c r="E13" s="685" t="s">
        <v>16</v>
      </c>
      <c r="F13" s="687"/>
      <c r="G13" s="665">
        <f t="shared" si="1"/>
        <v>0</v>
      </c>
      <c r="H13" s="789">
        <v>100</v>
      </c>
      <c r="I13" s="665">
        <f t="shared" si="2"/>
        <v>76000</v>
      </c>
      <c r="J13" s="665">
        <f t="shared" si="0"/>
        <v>76000</v>
      </c>
      <c r="K13" s="680"/>
    </row>
    <row r="14" spans="1:11">
      <c r="A14" s="660"/>
      <c r="B14" s="788" t="s">
        <v>478</v>
      </c>
      <c r="C14" s="684"/>
      <c r="D14" s="676">
        <v>120</v>
      </c>
      <c r="E14" s="685" t="s">
        <v>477</v>
      </c>
      <c r="F14" s="665">
        <v>120</v>
      </c>
      <c r="G14" s="665">
        <f t="shared" si="1"/>
        <v>14400</v>
      </c>
      <c r="H14" s="789"/>
      <c r="I14" s="665">
        <f t="shared" si="2"/>
        <v>0</v>
      </c>
      <c r="J14" s="665">
        <f t="shared" si="0"/>
        <v>14400</v>
      </c>
      <c r="K14" s="680"/>
    </row>
    <row r="15" spans="1:11">
      <c r="A15" s="660"/>
      <c r="B15" s="788" t="s">
        <v>500</v>
      </c>
      <c r="C15" s="684"/>
      <c r="D15" s="676">
        <v>15</v>
      </c>
      <c r="E15" s="685" t="s">
        <v>36</v>
      </c>
      <c r="F15" s="665">
        <v>700</v>
      </c>
      <c r="G15" s="665">
        <f t="shared" si="1"/>
        <v>10500</v>
      </c>
      <c r="H15" s="789">
        <v>50</v>
      </c>
      <c r="I15" s="665">
        <f t="shared" si="2"/>
        <v>750</v>
      </c>
      <c r="J15" s="665">
        <f t="shared" si="0"/>
        <v>11250</v>
      </c>
      <c r="K15" s="680"/>
    </row>
    <row r="16" spans="1:11">
      <c r="A16" s="660"/>
      <c r="B16" s="661" t="s">
        <v>469</v>
      </c>
      <c r="C16" s="684" t="e">
        <f>+#REF!</f>
        <v>#REF!</v>
      </c>
      <c r="D16" s="676">
        <v>325</v>
      </c>
      <c r="E16" s="685" t="s">
        <v>16</v>
      </c>
      <c r="F16" s="687">
        <v>50</v>
      </c>
      <c r="G16" s="665">
        <f t="shared" ref="G16" si="9">D16*F16</f>
        <v>16250</v>
      </c>
      <c r="H16" s="789">
        <v>50</v>
      </c>
      <c r="I16" s="665">
        <f t="shared" ref="I16" si="10">SUM(D16*H16)</f>
        <v>16250</v>
      </c>
      <c r="J16" s="665">
        <f t="shared" ref="J16" si="11">I16+G16</f>
        <v>32500</v>
      </c>
      <c r="K16" s="680"/>
    </row>
    <row r="17" spans="1:11">
      <c r="A17" s="660"/>
      <c r="B17" s="661" t="s">
        <v>470</v>
      </c>
      <c r="C17" s="684" t="e">
        <f>+#REF!</f>
        <v>#REF!</v>
      </c>
      <c r="D17" s="676">
        <v>155</v>
      </c>
      <c r="E17" s="685" t="s">
        <v>16</v>
      </c>
      <c r="F17" s="687">
        <v>50</v>
      </c>
      <c r="G17" s="665">
        <f t="shared" ref="G17" si="12">D17*F17</f>
        <v>7750</v>
      </c>
      <c r="H17" s="789">
        <v>60</v>
      </c>
      <c r="I17" s="665">
        <f t="shared" ref="I17" si="13">SUM(D17*H17)</f>
        <v>9300</v>
      </c>
      <c r="J17" s="665">
        <f t="shared" ref="J17" si="14">I17+G17</f>
        <v>17050</v>
      </c>
      <c r="K17" s="680"/>
    </row>
    <row r="18" spans="1:11">
      <c r="A18" s="660"/>
      <c r="B18" s="661" t="s">
        <v>317</v>
      </c>
      <c r="C18" s="684"/>
      <c r="D18" s="676">
        <v>52</v>
      </c>
      <c r="E18" s="685" t="s">
        <v>16</v>
      </c>
      <c r="F18" s="687">
        <v>500</v>
      </c>
      <c r="G18" s="665">
        <f t="shared" ref="G18" si="15">D18*F18</f>
        <v>26000</v>
      </c>
      <c r="H18" s="789">
        <v>150</v>
      </c>
      <c r="I18" s="665">
        <f t="shared" ref="I18" si="16">SUM(D18*H18)</f>
        <v>7800</v>
      </c>
      <c r="J18" s="665">
        <f t="shared" ref="J18" si="17">I18+G18</f>
        <v>33800</v>
      </c>
      <c r="K18" s="680"/>
    </row>
    <row r="19" spans="1:11">
      <c r="A19" s="660"/>
      <c r="B19" s="661" t="s">
        <v>441</v>
      </c>
      <c r="C19" s="684"/>
      <c r="D19" s="676">
        <v>8</v>
      </c>
      <c r="E19" s="685" t="s">
        <v>16</v>
      </c>
      <c r="F19" s="687">
        <v>500</v>
      </c>
      <c r="G19" s="665">
        <f t="shared" ref="G19" si="18">D19*F19</f>
        <v>4000</v>
      </c>
      <c r="H19" s="789">
        <v>150</v>
      </c>
      <c r="I19" s="665">
        <f t="shared" ref="I19" si="19">SUM(D19*H19)</f>
        <v>1200</v>
      </c>
      <c r="J19" s="665">
        <f t="shared" ref="J19" si="20">I19+G19</f>
        <v>5200</v>
      </c>
      <c r="K19" s="680"/>
    </row>
    <row r="20" spans="1:11">
      <c r="A20" s="660"/>
      <c r="B20" s="788" t="s">
        <v>432</v>
      </c>
      <c r="C20" s="684"/>
      <c r="D20" s="676">
        <v>2.5</v>
      </c>
      <c r="E20" s="685" t="s">
        <v>16</v>
      </c>
      <c r="F20" s="665">
        <v>250</v>
      </c>
      <c r="G20" s="665">
        <f t="shared" ref="G20:G21" si="21">D20*F20</f>
        <v>625</v>
      </c>
      <c r="H20" s="790">
        <v>150</v>
      </c>
      <c r="I20" s="665">
        <f t="shared" ref="I20:I21" si="22">SUM(D20*H20)</f>
        <v>375</v>
      </c>
      <c r="J20" s="665">
        <f t="shared" ref="J20:J21" si="23">I20+G20</f>
        <v>1000</v>
      </c>
      <c r="K20" s="680"/>
    </row>
    <row r="21" spans="1:11">
      <c r="A21" s="660"/>
      <c r="B21" s="788" t="s">
        <v>498</v>
      </c>
      <c r="C21" s="684"/>
      <c r="D21" s="676">
        <v>10</v>
      </c>
      <c r="E21" s="685" t="s">
        <v>16</v>
      </c>
      <c r="F21" s="665">
        <v>350</v>
      </c>
      <c r="G21" s="665">
        <f t="shared" si="21"/>
        <v>3500</v>
      </c>
      <c r="H21" s="790">
        <v>330</v>
      </c>
      <c r="I21" s="665">
        <f t="shared" si="22"/>
        <v>3300</v>
      </c>
      <c r="J21" s="665">
        <f t="shared" si="23"/>
        <v>6800</v>
      </c>
      <c r="K21" s="680"/>
    </row>
    <row r="22" spans="1:11">
      <c r="A22" s="660"/>
      <c r="B22" s="788" t="s">
        <v>342</v>
      </c>
      <c r="C22" s="684"/>
      <c r="D22" s="676">
        <v>163</v>
      </c>
      <c r="E22" s="685" t="s">
        <v>332</v>
      </c>
      <c r="F22" s="665">
        <v>60</v>
      </c>
      <c r="G22" s="665">
        <f t="shared" si="1"/>
        <v>9780</v>
      </c>
      <c r="H22" s="790">
        <v>30</v>
      </c>
      <c r="I22" s="665">
        <f t="shared" si="2"/>
        <v>4890</v>
      </c>
      <c r="J22" s="665">
        <f t="shared" ref="J22" si="24">I22+G22</f>
        <v>14670</v>
      </c>
      <c r="K22" s="680"/>
    </row>
    <row r="23" spans="1:11">
      <c r="A23" s="692"/>
      <c r="B23" s="1205"/>
      <c r="C23" s="698"/>
      <c r="D23" s="676"/>
      <c r="E23" s="722"/>
      <c r="F23" s="792"/>
      <c r="G23" s="792"/>
      <c r="H23" s="1206"/>
      <c r="I23" s="792"/>
      <c r="J23" s="792"/>
      <c r="K23" s="1207"/>
    </row>
    <row r="24" spans="1:11">
      <c r="A24" s="692"/>
      <c r="B24" s="791"/>
      <c r="C24" s="698"/>
      <c r="D24" s="721"/>
      <c r="E24" s="722"/>
      <c r="F24" s="723"/>
      <c r="G24" s="724"/>
      <c r="H24" s="724"/>
      <c r="I24" s="792">
        <f>SUM(D24*H24)</f>
        <v>0</v>
      </c>
      <c r="J24" s="792">
        <f t="shared" si="0"/>
        <v>0</v>
      </c>
      <c r="K24" s="793"/>
    </row>
    <row r="25" spans="1:11">
      <c r="A25" s="755"/>
      <c r="B25" s="794" t="s">
        <v>318</v>
      </c>
      <c r="C25" s="795"/>
      <c r="D25" s="796"/>
      <c r="E25" s="797"/>
      <c r="F25" s="736"/>
      <c r="G25" s="729">
        <f>SUM(G8:G24)</f>
        <v>150292.5</v>
      </c>
      <c r="H25" s="731"/>
      <c r="I25" s="729">
        <f>SUM(I8:I24)</f>
        <v>158465</v>
      </c>
      <c r="J25" s="729">
        <f>SUM(J8:J24)</f>
        <v>308757.5</v>
      </c>
      <c r="K25" s="732"/>
    </row>
    <row r="26" spans="1:11">
      <c r="A26" s="706">
        <v>2.2000000000000002</v>
      </c>
      <c r="B26" s="798" t="s">
        <v>0</v>
      </c>
      <c r="C26" s="715"/>
      <c r="D26" s="676"/>
      <c r="E26" s="711"/>
      <c r="F26" s="678"/>
      <c r="G26" s="679"/>
      <c r="H26" s="679"/>
      <c r="I26" s="678">
        <f>SUM(D26*H26)</f>
        <v>0</v>
      </c>
      <c r="J26" s="678">
        <f t="shared" si="0"/>
        <v>0</v>
      </c>
      <c r="K26" s="799"/>
    </row>
    <row r="27" spans="1:11">
      <c r="A27" s="660"/>
      <c r="B27" s="661" t="s">
        <v>479</v>
      </c>
      <c r="C27" s="684" t="s">
        <v>16</v>
      </c>
      <c r="D27" s="676">
        <v>128</v>
      </c>
      <c r="E27" s="685" t="s">
        <v>16</v>
      </c>
      <c r="F27" s="687">
        <v>560</v>
      </c>
      <c r="G27" s="665">
        <f t="shared" ref="G27:G28" si="25">D27*F27</f>
        <v>71680</v>
      </c>
      <c r="H27" s="667">
        <v>150</v>
      </c>
      <c r="I27" s="665">
        <f t="shared" ref="I27:I28" si="26">SUM(D27*H27)</f>
        <v>19200</v>
      </c>
      <c r="J27" s="665">
        <f>I27+G27</f>
        <v>90880</v>
      </c>
      <c r="K27" s="680"/>
    </row>
    <row r="28" spans="1:11">
      <c r="A28" s="660"/>
      <c r="B28" s="661" t="s">
        <v>480</v>
      </c>
      <c r="C28" s="684" t="s">
        <v>16</v>
      </c>
      <c r="D28" s="676">
        <v>10</v>
      </c>
      <c r="E28" s="685" t="s">
        <v>16</v>
      </c>
      <c r="F28" s="687">
        <v>560</v>
      </c>
      <c r="G28" s="665">
        <f t="shared" si="25"/>
        <v>5600</v>
      </c>
      <c r="H28" s="667">
        <v>150</v>
      </c>
      <c r="I28" s="665">
        <f t="shared" si="26"/>
        <v>1500</v>
      </c>
      <c r="J28" s="665">
        <f t="shared" ref="J28" si="27">I28+G28</f>
        <v>7100</v>
      </c>
      <c r="K28" s="680"/>
    </row>
    <row r="29" spans="1:11">
      <c r="A29" s="660"/>
      <c r="B29" s="661" t="s">
        <v>481</v>
      </c>
      <c r="C29" s="684" t="s">
        <v>16</v>
      </c>
      <c r="D29" s="676">
        <v>25</v>
      </c>
      <c r="E29" s="685" t="s">
        <v>16</v>
      </c>
      <c r="F29" s="687">
        <v>560</v>
      </c>
      <c r="G29" s="665">
        <f t="shared" ref="G29" si="28">D29*F29</f>
        <v>14000</v>
      </c>
      <c r="H29" s="667">
        <v>220</v>
      </c>
      <c r="I29" s="665">
        <f t="shared" ref="I29" si="29">SUM(D29*H29)</f>
        <v>5500</v>
      </c>
      <c r="J29" s="665">
        <f t="shared" ref="J29" si="30">I29+G29</f>
        <v>19500</v>
      </c>
      <c r="K29" s="680"/>
    </row>
    <row r="30" spans="1:11">
      <c r="A30" s="660"/>
      <c r="B30" s="661" t="s">
        <v>482</v>
      </c>
      <c r="C30" s="684" t="s">
        <v>16</v>
      </c>
      <c r="D30" s="676">
        <v>124</v>
      </c>
      <c r="E30" s="685" t="s">
        <v>19</v>
      </c>
      <c r="F30" s="687">
        <v>90</v>
      </c>
      <c r="G30" s="665">
        <f t="shared" ref="G30" si="31">D30*F30</f>
        <v>11160</v>
      </c>
      <c r="H30" s="667">
        <v>60</v>
      </c>
      <c r="I30" s="665">
        <f t="shared" ref="I30" si="32">SUM(D30*H30)</f>
        <v>7440</v>
      </c>
      <c r="J30" s="665">
        <f t="shared" ref="J30" si="33">I30+G30</f>
        <v>18600</v>
      </c>
      <c r="K30" s="680"/>
    </row>
    <row r="31" spans="1:11">
      <c r="A31" s="692"/>
      <c r="B31" s="719" t="s">
        <v>33</v>
      </c>
      <c r="C31" s="698"/>
      <c r="D31" s="721"/>
      <c r="E31" s="722"/>
      <c r="F31" s="792"/>
      <c r="G31" s="665"/>
      <c r="H31" s="724"/>
      <c r="I31" s="665"/>
      <c r="J31" s="665"/>
      <c r="K31" s="699"/>
    </row>
    <row r="32" spans="1:11">
      <c r="A32" s="755"/>
      <c r="B32" s="794" t="s">
        <v>319</v>
      </c>
      <c r="C32" s="800"/>
      <c r="D32" s="796"/>
      <c r="E32" s="797"/>
      <c r="F32" s="801"/>
      <c r="G32" s="729">
        <f>SUM(G26:G31)</f>
        <v>102440</v>
      </c>
      <c r="H32" s="731"/>
      <c r="I32" s="729">
        <f>SUM(I26:I31)</f>
        <v>33640</v>
      </c>
      <c r="J32" s="729">
        <f>SUM(J26:J31)</f>
        <v>136080</v>
      </c>
      <c r="K32" s="802"/>
    </row>
    <row r="33" spans="1:11">
      <c r="A33" s="706">
        <v>2.2999999999999998</v>
      </c>
      <c r="B33" s="798" t="s">
        <v>70</v>
      </c>
      <c r="C33" s="803"/>
      <c r="D33" s="676"/>
      <c r="E33" s="711"/>
      <c r="F33" s="678"/>
      <c r="G33" s="678">
        <f t="shared" ref="G33:G48" si="34">D33*F33</f>
        <v>0</v>
      </c>
      <c r="H33" s="679"/>
      <c r="I33" s="678">
        <f t="shared" ref="I33:I42" si="35">SUM(D33*H33)</f>
        <v>0</v>
      </c>
      <c r="J33" s="678">
        <f>I33+G33</f>
        <v>0</v>
      </c>
      <c r="K33" s="740"/>
    </row>
    <row r="34" spans="1:11">
      <c r="A34" s="660"/>
      <c r="B34" s="707" t="s">
        <v>428</v>
      </c>
      <c r="C34" s="675"/>
      <c r="D34" s="676">
        <v>128</v>
      </c>
      <c r="E34" s="711" t="s">
        <v>16</v>
      </c>
      <c r="F34" s="665">
        <v>250</v>
      </c>
      <c r="G34" s="665">
        <f t="shared" si="34"/>
        <v>32000</v>
      </c>
      <c r="H34" s="679">
        <v>100</v>
      </c>
      <c r="I34" s="665">
        <f t="shared" si="35"/>
        <v>12800</v>
      </c>
      <c r="J34" s="665">
        <f t="shared" ref="J34" si="36">I34+G34</f>
        <v>44800</v>
      </c>
      <c r="K34" s="680"/>
    </row>
    <row r="35" spans="1:11">
      <c r="A35" s="660"/>
      <c r="B35" s="690" t="s">
        <v>327</v>
      </c>
      <c r="C35" s="684"/>
      <c r="D35" s="676"/>
      <c r="E35" s="685"/>
      <c r="F35" s="687"/>
      <c r="G35" s="665">
        <f t="shared" si="34"/>
        <v>0</v>
      </c>
      <c r="H35" s="667"/>
      <c r="I35" s="665">
        <f t="shared" si="35"/>
        <v>0</v>
      </c>
      <c r="J35" s="665">
        <f>I35+G35</f>
        <v>0</v>
      </c>
      <c r="K35" s="688"/>
    </row>
    <row r="36" spans="1:11">
      <c r="A36" s="692"/>
      <c r="B36" s="707" t="s">
        <v>328</v>
      </c>
      <c r="C36" s="708"/>
      <c r="D36" s="676">
        <v>10</v>
      </c>
      <c r="E36" s="685" t="s">
        <v>16</v>
      </c>
      <c r="F36" s="665">
        <v>200</v>
      </c>
      <c r="G36" s="665">
        <f t="shared" si="34"/>
        <v>2000</v>
      </c>
      <c r="H36" s="679">
        <v>100</v>
      </c>
      <c r="I36" s="665">
        <f t="shared" si="35"/>
        <v>1000</v>
      </c>
      <c r="J36" s="665">
        <f t="shared" ref="J36" si="37">I36+G36</f>
        <v>3000</v>
      </c>
      <c r="K36" s="680"/>
    </row>
    <row r="37" spans="1:11">
      <c r="A37" s="692"/>
      <c r="B37" s="707" t="s">
        <v>327</v>
      </c>
      <c r="C37" s="759"/>
      <c r="D37" s="676"/>
      <c r="E37" s="711"/>
      <c r="F37" s="665"/>
      <c r="G37" s="665"/>
      <c r="H37" s="679"/>
      <c r="I37" s="665"/>
      <c r="J37" s="665"/>
      <c r="K37" s="680"/>
    </row>
    <row r="38" spans="1:11">
      <c r="A38" s="692"/>
      <c r="B38" s="714" t="s">
        <v>483</v>
      </c>
      <c r="C38" s="698"/>
      <c r="D38" s="703">
        <v>40</v>
      </c>
      <c r="E38" s="711" t="s">
        <v>16</v>
      </c>
      <c r="F38" s="665">
        <v>220</v>
      </c>
      <c r="G38" s="665">
        <f t="shared" ref="G38" si="38">D38*F38</f>
        <v>8800</v>
      </c>
      <c r="H38" s="667">
        <v>85</v>
      </c>
      <c r="I38" s="792">
        <f t="shared" si="35"/>
        <v>3400</v>
      </c>
      <c r="J38" s="665">
        <f>I38+G38</f>
        <v>12200</v>
      </c>
      <c r="K38" s="680"/>
    </row>
    <row r="39" spans="1:11">
      <c r="A39" s="692"/>
      <c r="B39" s="714" t="s">
        <v>429</v>
      </c>
      <c r="C39" s="698"/>
      <c r="D39" s="703"/>
      <c r="E39" s="711"/>
      <c r="F39" s="665"/>
      <c r="G39" s="792"/>
      <c r="H39" s="724"/>
      <c r="I39" s="792"/>
      <c r="J39" s="665"/>
      <c r="K39" s="680"/>
    </row>
    <row r="40" spans="1:11">
      <c r="A40" s="804"/>
      <c r="B40" s="805"/>
      <c r="C40" s="702"/>
      <c r="D40" s="806"/>
      <c r="E40" s="807"/>
      <c r="F40" s="808"/>
      <c r="G40" s="809"/>
      <c r="H40" s="810"/>
      <c r="I40" s="809"/>
      <c r="J40" s="809"/>
      <c r="K40" s="811"/>
    </row>
    <row r="41" spans="1:11">
      <c r="A41" s="755"/>
      <c r="B41" s="812" t="s">
        <v>320</v>
      </c>
      <c r="C41" s="795"/>
      <c r="D41" s="796"/>
      <c r="E41" s="797"/>
      <c r="F41" s="736"/>
      <c r="G41" s="729">
        <f>SUM(G33:G39)</f>
        <v>42800</v>
      </c>
      <c r="H41" s="729"/>
      <c r="I41" s="729">
        <f>SUM(I33:I39)</f>
        <v>17200</v>
      </c>
      <c r="J41" s="729">
        <f>SUM(J33:J39)</f>
        <v>60000</v>
      </c>
      <c r="K41" s="802"/>
    </row>
    <row r="42" spans="1:11">
      <c r="A42" s="706">
        <v>2.4</v>
      </c>
      <c r="B42" s="813" t="s">
        <v>2</v>
      </c>
      <c r="C42" s="715"/>
      <c r="D42" s="676"/>
      <c r="E42" s="711"/>
      <c r="F42" s="814"/>
      <c r="G42" s="678">
        <f t="shared" si="34"/>
        <v>0</v>
      </c>
      <c r="H42" s="815"/>
      <c r="I42" s="678">
        <f t="shared" si="35"/>
        <v>0</v>
      </c>
      <c r="J42" s="678">
        <f t="shared" ref="J42:J48" si="39">I42+G42</f>
        <v>0</v>
      </c>
      <c r="K42" s="740"/>
    </row>
    <row r="43" spans="1:11">
      <c r="A43" s="660"/>
      <c r="B43" s="816" t="s">
        <v>485</v>
      </c>
      <c r="C43" s="684"/>
      <c r="D43" s="676">
        <v>2850</v>
      </c>
      <c r="E43" s="685" t="s">
        <v>48</v>
      </c>
      <c r="F43" s="687">
        <v>25</v>
      </c>
      <c r="G43" s="665">
        <f t="shared" si="34"/>
        <v>71250</v>
      </c>
      <c r="H43" s="667">
        <v>5</v>
      </c>
      <c r="I43" s="665">
        <f t="shared" ref="I43:I48" si="40">D43*H43</f>
        <v>14250</v>
      </c>
      <c r="J43" s="665">
        <f t="shared" si="39"/>
        <v>85500</v>
      </c>
      <c r="K43" s="680"/>
    </row>
    <row r="44" spans="1:11">
      <c r="A44" s="660"/>
      <c r="B44" s="817" t="s">
        <v>484</v>
      </c>
      <c r="C44" s="684"/>
      <c r="D44" s="676">
        <v>186</v>
      </c>
      <c r="E44" s="685" t="s">
        <v>48</v>
      </c>
      <c r="F44" s="687">
        <v>60</v>
      </c>
      <c r="G44" s="665">
        <f t="shared" si="34"/>
        <v>11160</v>
      </c>
      <c r="H44" s="667">
        <v>5</v>
      </c>
      <c r="I44" s="665">
        <f t="shared" si="40"/>
        <v>930</v>
      </c>
      <c r="J44" s="665">
        <f t="shared" si="39"/>
        <v>12090</v>
      </c>
      <c r="K44" s="680"/>
    </row>
    <row r="45" spans="1:11">
      <c r="A45" s="660"/>
      <c r="B45" s="817" t="s">
        <v>486</v>
      </c>
      <c r="C45" s="684"/>
      <c r="D45" s="676">
        <v>6</v>
      </c>
      <c r="E45" s="685" t="s">
        <v>48</v>
      </c>
      <c r="F45" s="687">
        <v>80</v>
      </c>
      <c r="G45" s="665">
        <f t="shared" ref="G45" si="41">D45*F45</f>
        <v>480</v>
      </c>
      <c r="H45" s="667">
        <v>5</v>
      </c>
      <c r="I45" s="665">
        <f t="shared" ref="I45" si="42">D45*H45</f>
        <v>30</v>
      </c>
      <c r="J45" s="665">
        <f t="shared" ref="J45" si="43">I45+G45</f>
        <v>510</v>
      </c>
      <c r="K45" s="680"/>
    </row>
    <row r="46" spans="1:11">
      <c r="A46" s="660"/>
      <c r="B46" s="816" t="s">
        <v>464</v>
      </c>
      <c r="C46" s="684"/>
      <c r="D46" s="676">
        <v>6</v>
      </c>
      <c r="E46" s="685" t="s">
        <v>249</v>
      </c>
      <c r="F46" s="687">
        <v>250</v>
      </c>
      <c r="G46" s="665">
        <f t="shared" si="34"/>
        <v>1500</v>
      </c>
      <c r="H46" s="667">
        <v>5</v>
      </c>
      <c r="I46" s="665">
        <f t="shared" si="40"/>
        <v>30</v>
      </c>
      <c r="J46" s="665">
        <f t="shared" si="39"/>
        <v>1530</v>
      </c>
      <c r="K46" s="680"/>
    </row>
    <row r="47" spans="1:11">
      <c r="A47" s="660"/>
      <c r="B47" s="818" t="s">
        <v>487</v>
      </c>
      <c r="C47" s="684"/>
      <c r="D47" s="676">
        <v>20</v>
      </c>
      <c r="E47" s="685" t="s">
        <v>48</v>
      </c>
      <c r="F47" s="819">
        <v>360</v>
      </c>
      <c r="G47" s="665">
        <f t="shared" si="34"/>
        <v>7200</v>
      </c>
      <c r="H47" s="667"/>
      <c r="I47" s="665">
        <f t="shared" si="40"/>
        <v>0</v>
      </c>
      <c r="J47" s="665">
        <f t="shared" si="39"/>
        <v>7200</v>
      </c>
      <c r="K47" s="680"/>
    </row>
    <row r="48" spans="1:11">
      <c r="A48" s="660"/>
      <c r="B48" s="817" t="s">
        <v>436</v>
      </c>
      <c r="C48" s="684"/>
      <c r="D48" s="676">
        <v>230</v>
      </c>
      <c r="E48" s="685" t="s">
        <v>16</v>
      </c>
      <c r="F48" s="820"/>
      <c r="G48" s="665">
        <f t="shared" si="34"/>
        <v>0</v>
      </c>
      <c r="H48" s="667">
        <v>65</v>
      </c>
      <c r="I48" s="665">
        <f t="shared" si="40"/>
        <v>14950</v>
      </c>
      <c r="J48" s="665">
        <f t="shared" si="39"/>
        <v>14950</v>
      </c>
      <c r="K48" s="680"/>
    </row>
    <row r="49" spans="1:11">
      <c r="A49" s="757"/>
      <c r="B49" s="821"/>
      <c r="C49" s="822"/>
      <c r="D49" s="721"/>
      <c r="E49" s="823"/>
      <c r="F49" s="824"/>
      <c r="G49" s="825"/>
      <c r="H49" s="826"/>
      <c r="I49" s="792"/>
      <c r="J49" s="825"/>
      <c r="K49" s="765"/>
    </row>
    <row r="50" spans="1:11">
      <c r="A50" s="646"/>
      <c r="B50" s="647" t="s">
        <v>322</v>
      </c>
      <c r="C50" s="708"/>
      <c r="D50" s="727"/>
      <c r="E50" s="728"/>
      <c r="F50" s="729"/>
      <c r="G50" s="729">
        <f>SUM(G42:G49)</f>
        <v>91590</v>
      </c>
      <c r="H50" s="729"/>
      <c r="I50" s="729">
        <f>SUM(I42:I49)</f>
        <v>30190</v>
      </c>
      <c r="J50" s="729">
        <f>SUM(J42:J49)</f>
        <v>121780</v>
      </c>
      <c r="K50" s="732"/>
    </row>
    <row r="51" spans="1:11">
      <c r="A51" s="701">
        <v>2.5</v>
      </c>
      <c r="B51" s="827" t="s">
        <v>3</v>
      </c>
      <c r="C51" s="684"/>
      <c r="D51" s="665"/>
      <c r="E51" s="685"/>
      <c r="F51" s="665"/>
      <c r="G51" s="665">
        <f t="shared" ref="G51:G63" si="44">D51*F51</f>
        <v>0</v>
      </c>
      <c r="H51" s="716"/>
      <c r="I51" s="665">
        <f t="shared" ref="I51:I63" si="45">SUM(D51*H51)</f>
        <v>0</v>
      </c>
      <c r="J51" s="665">
        <f t="shared" ref="J51:J63" si="46">I51+G51</f>
        <v>0</v>
      </c>
      <c r="K51" s="828"/>
    </row>
    <row r="52" spans="1:11">
      <c r="A52" s="660"/>
      <c r="B52" s="741" t="s">
        <v>185</v>
      </c>
      <c r="C52" s="684"/>
      <c r="D52" s="748">
        <v>2</v>
      </c>
      <c r="E52" s="746" t="s">
        <v>17</v>
      </c>
      <c r="F52" s="829">
        <v>6000</v>
      </c>
      <c r="G52" s="748">
        <f t="shared" si="44"/>
        <v>12000</v>
      </c>
      <c r="H52" s="830">
        <v>1000</v>
      </c>
      <c r="I52" s="748">
        <f t="shared" si="45"/>
        <v>2000</v>
      </c>
      <c r="J52" s="665">
        <f t="shared" si="46"/>
        <v>14000</v>
      </c>
      <c r="K52" s="680"/>
    </row>
    <row r="53" spans="1:11">
      <c r="A53" s="660"/>
      <c r="B53" s="741" t="s">
        <v>440</v>
      </c>
      <c r="C53" s="684"/>
      <c r="D53" s="748">
        <v>2</v>
      </c>
      <c r="E53" s="746" t="s">
        <v>17</v>
      </c>
      <c r="F53" s="829">
        <v>5000</v>
      </c>
      <c r="G53" s="748">
        <f t="shared" si="44"/>
        <v>10000</v>
      </c>
      <c r="H53" s="745">
        <v>500</v>
      </c>
      <c r="I53" s="748">
        <f t="shared" si="45"/>
        <v>1000</v>
      </c>
      <c r="J53" s="665">
        <f t="shared" si="46"/>
        <v>11000</v>
      </c>
      <c r="K53" s="680"/>
    </row>
    <row r="54" spans="1:11">
      <c r="A54" s="660"/>
      <c r="B54" s="741" t="s">
        <v>334</v>
      </c>
      <c r="C54" s="684"/>
      <c r="D54" s="748">
        <v>2</v>
      </c>
      <c r="E54" s="746" t="s">
        <v>17</v>
      </c>
      <c r="F54" s="829">
        <v>7500</v>
      </c>
      <c r="G54" s="748">
        <f t="shared" ref="G54:G56" si="47">D54*F54</f>
        <v>15000</v>
      </c>
      <c r="H54" s="745">
        <v>500</v>
      </c>
      <c r="I54" s="748">
        <f t="shared" ref="I54:I56" si="48">SUM(D54*H54)</f>
        <v>1000</v>
      </c>
      <c r="J54" s="665">
        <f t="shared" ref="J54:J56" si="49">I54+G54</f>
        <v>16000</v>
      </c>
      <c r="K54" s="680"/>
    </row>
    <row r="55" spans="1:11">
      <c r="A55" s="660"/>
      <c r="B55" s="741" t="s">
        <v>333</v>
      </c>
      <c r="C55" s="684"/>
      <c r="D55" s="748">
        <v>2</v>
      </c>
      <c r="E55" s="746" t="s">
        <v>17</v>
      </c>
      <c r="F55" s="829">
        <v>650</v>
      </c>
      <c r="G55" s="748">
        <f t="shared" si="47"/>
        <v>1300</v>
      </c>
      <c r="H55" s="745">
        <v>150</v>
      </c>
      <c r="I55" s="748">
        <f t="shared" si="48"/>
        <v>300</v>
      </c>
      <c r="J55" s="665">
        <f t="shared" si="49"/>
        <v>1600</v>
      </c>
      <c r="K55" s="680"/>
    </row>
    <row r="56" spans="1:11">
      <c r="A56" s="660"/>
      <c r="B56" s="741" t="s">
        <v>335</v>
      </c>
      <c r="C56" s="684"/>
      <c r="D56" s="748">
        <v>2</v>
      </c>
      <c r="E56" s="746" t="s">
        <v>17</v>
      </c>
      <c r="F56" s="829">
        <v>650</v>
      </c>
      <c r="G56" s="748">
        <f t="shared" si="47"/>
        <v>1300</v>
      </c>
      <c r="H56" s="745">
        <v>150</v>
      </c>
      <c r="I56" s="748">
        <f t="shared" si="48"/>
        <v>300</v>
      </c>
      <c r="J56" s="665">
        <f t="shared" si="49"/>
        <v>1600</v>
      </c>
      <c r="K56" s="680"/>
    </row>
    <row r="57" spans="1:11">
      <c r="A57" s="660"/>
      <c r="B57" s="741" t="s">
        <v>71</v>
      </c>
      <c r="C57" s="684"/>
      <c r="D57" s="748">
        <v>2</v>
      </c>
      <c r="E57" s="746" t="s">
        <v>17</v>
      </c>
      <c r="F57" s="829">
        <v>100</v>
      </c>
      <c r="G57" s="748">
        <f t="shared" si="44"/>
        <v>200</v>
      </c>
      <c r="H57" s="745">
        <v>150</v>
      </c>
      <c r="I57" s="748">
        <f t="shared" si="45"/>
        <v>300</v>
      </c>
      <c r="J57" s="665">
        <f t="shared" si="46"/>
        <v>500</v>
      </c>
      <c r="K57" s="680"/>
    </row>
    <row r="58" spans="1:11">
      <c r="A58" s="660"/>
      <c r="B58" s="741" t="s">
        <v>336</v>
      </c>
      <c r="C58" s="684"/>
      <c r="D58" s="748">
        <v>2</v>
      </c>
      <c r="E58" s="746" t="s">
        <v>17</v>
      </c>
      <c r="F58" s="829">
        <v>350</v>
      </c>
      <c r="G58" s="748">
        <f t="shared" si="44"/>
        <v>700</v>
      </c>
      <c r="H58" s="745">
        <v>150</v>
      </c>
      <c r="I58" s="748">
        <f t="shared" si="45"/>
        <v>300</v>
      </c>
      <c r="J58" s="665">
        <f t="shared" si="46"/>
        <v>1000</v>
      </c>
      <c r="K58" s="680"/>
    </row>
    <row r="59" spans="1:11">
      <c r="A59" s="660"/>
      <c r="B59" s="741" t="s">
        <v>337</v>
      </c>
      <c r="C59" s="684"/>
      <c r="D59" s="748">
        <v>2</v>
      </c>
      <c r="E59" s="746" t="s">
        <v>17</v>
      </c>
      <c r="F59" s="829">
        <v>350</v>
      </c>
      <c r="G59" s="748">
        <f t="shared" ref="G59" si="50">D59*F59</f>
        <v>700</v>
      </c>
      <c r="H59" s="745">
        <v>150</v>
      </c>
      <c r="I59" s="748">
        <f t="shared" ref="I59" si="51">SUM(D59*H59)</f>
        <v>300</v>
      </c>
      <c r="J59" s="665">
        <f t="shared" ref="J59" si="52">I59+G59</f>
        <v>1000</v>
      </c>
      <c r="K59" s="680"/>
    </row>
    <row r="60" spans="1:11">
      <c r="A60" s="660"/>
      <c r="B60" s="741" t="s">
        <v>338</v>
      </c>
      <c r="C60" s="684"/>
      <c r="D60" s="748">
        <v>2</v>
      </c>
      <c r="E60" s="746" t="s">
        <v>17</v>
      </c>
      <c r="F60" s="829">
        <v>800</v>
      </c>
      <c r="G60" s="748">
        <f t="shared" si="44"/>
        <v>1600</v>
      </c>
      <c r="H60" s="745">
        <v>150</v>
      </c>
      <c r="I60" s="748">
        <f t="shared" si="45"/>
        <v>300</v>
      </c>
      <c r="J60" s="665">
        <f t="shared" si="46"/>
        <v>1900</v>
      </c>
      <c r="K60" s="680"/>
    </row>
    <row r="61" spans="1:11">
      <c r="A61" s="660"/>
      <c r="B61" s="741" t="s">
        <v>339</v>
      </c>
      <c r="C61" s="684"/>
      <c r="D61" s="748">
        <v>2</v>
      </c>
      <c r="E61" s="746" t="s">
        <v>17</v>
      </c>
      <c r="F61" s="829">
        <v>850</v>
      </c>
      <c r="G61" s="748">
        <f t="shared" si="44"/>
        <v>1700</v>
      </c>
      <c r="H61" s="745">
        <v>150</v>
      </c>
      <c r="I61" s="748">
        <f t="shared" si="45"/>
        <v>300</v>
      </c>
      <c r="J61" s="665">
        <f t="shared" si="46"/>
        <v>2000</v>
      </c>
      <c r="K61" s="680"/>
    </row>
    <row r="62" spans="1:11">
      <c r="A62" s="660"/>
      <c r="B62" s="741" t="s">
        <v>323</v>
      </c>
      <c r="C62" s="831"/>
      <c r="D62" s="832">
        <v>2</v>
      </c>
      <c r="E62" s="746" t="s">
        <v>17</v>
      </c>
      <c r="F62" s="748">
        <v>850</v>
      </c>
      <c r="G62" s="748">
        <f t="shared" si="44"/>
        <v>1700</v>
      </c>
      <c r="H62" s="833">
        <v>150</v>
      </c>
      <c r="I62" s="748">
        <f t="shared" si="45"/>
        <v>300</v>
      </c>
      <c r="J62" s="665">
        <f t="shared" si="46"/>
        <v>2000</v>
      </c>
      <c r="K62" s="680"/>
    </row>
    <row r="63" spans="1:11" hidden="1">
      <c r="A63" s="660" t="s">
        <v>340</v>
      </c>
      <c r="B63" s="741" t="s">
        <v>330</v>
      </c>
      <c r="C63" s="834"/>
      <c r="D63" s="832">
        <v>0</v>
      </c>
      <c r="E63" s="746" t="s">
        <v>332</v>
      </c>
      <c r="F63" s="748"/>
      <c r="G63" s="748">
        <f t="shared" si="44"/>
        <v>0</v>
      </c>
      <c r="H63" s="833"/>
      <c r="I63" s="748">
        <f t="shared" si="45"/>
        <v>0</v>
      </c>
      <c r="J63" s="665">
        <f t="shared" si="46"/>
        <v>0</v>
      </c>
      <c r="K63" s="680"/>
    </row>
    <row r="64" spans="1:11" hidden="1">
      <c r="A64" s="660" t="s">
        <v>341</v>
      </c>
      <c r="B64" s="741" t="s">
        <v>331</v>
      </c>
      <c r="C64" s="834"/>
      <c r="D64" s="832">
        <v>0</v>
      </c>
      <c r="E64" s="746" t="s">
        <v>332</v>
      </c>
      <c r="F64" s="748"/>
      <c r="G64" s="748">
        <f t="shared" ref="G64" si="53">D64*F64</f>
        <v>0</v>
      </c>
      <c r="H64" s="833"/>
      <c r="I64" s="748">
        <f t="shared" ref="I64" si="54">SUM(D64*H64)</f>
        <v>0</v>
      </c>
      <c r="J64" s="665">
        <f t="shared" ref="J64" si="55">I64+G64</f>
        <v>0</v>
      </c>
      <c r="K64" s="680"/>
    </row>
    <row r="65" spans="1:11">
      <c r="A65" s="755"/>
      <c r="B65" s="647" t="s">
        <v>324</v>
      </c>
      <c r="C65" s="795"/>
      <c r="D65" s="783"/>
      <c r="E65" s="797"/>
      <c r="F65" s="801"/>
      <c r="G65" s="731">
        <f>SUM(G51:G64)</f>
        <v>46200</v>
      </c>
      <c r="H65" s="731"/>
      <c r="I65" s="731">
        <f>SUM(I51:I64)</f>
        <v>6400</v>
      </c>
      <c r="J65" s="731">
        <f>SUM(J51:J64)</f>
        <v>52600</v>
      </c>
      <c r="K65" s="802"/>
    </row>
    <row r="66" spans="1:11">
      <c r="A66" s="674">
        <v>2.6</v>
      </c>
      <c r="B66" s="737" t="s">
        <v>75</v>
      </c>
      <c r="C66" s="838"/>
      <c r="D66" s="839"/>
      <c r="E66" s="840"/>
      <c r="F66" s="841"/>
      <c r="G66" s="842"/>
      <c r="H66" s="843"/>
      <c r="I66" s="842"/>
      <c r="J66" s="841"/>
      <c r="K66" s="844"/>
    </row>
    <row r="67" spans="1:11" ht="23.25" customHeight="1">
      <c r="A67" s="674"/>
      <c r="B67" s="845" t="s">
        <v>489</v>
      </c>
      <c r="C67" s="715"/>
      <c r="D67" s="678">
        <v>1</v>
      </c>
      <c r="E67" s="711" t="s">
        <v>17</v>
      </c>
      <c r="F67" s="814">
        <v>34000</v>
      </c>
      <c r="G67" s="665">
        <f t="shared" ref="G67:G73" si="56">D67*F67</f>
        <v>34000</v>
      </c>
      <c r="H67" s="679">
        <v>1500</v>
      </c>
      <c r="I67" s="665">
        <f t="shared" ref="I67:I73" si="57">SUM(D67*H67)</f>
        <v>1500</v>
      </c>
      <c r="J67" s="665">
        <f t="shared" ref="J67:J73" si="58">I67+G67</f>
        <v>35500</v>
      </c>
      <c r="K67" s="680"/>
    </row>
    <row r="68" spans="1:11">
      <c r="A68" s="660"/>
      <c r="B68" s="845" t="s">
        <v>488</v>
      </c>
      <c r="C68" s="684"/>
      <c r="D68" s="665">
        <v>5</v>
      </c>
      <c r="E68" s="685" t="s">
        <v>17</v>
      </c>
      <c r="F68" s="687">
        <v>7800</v>
      </c>
      <c r="G68" s="665">
        <f t="shared" si="56"/>
        <v>39000</v>
      </c>
      <c r="H68" s="667">
        <v>700</v>
      </c>
      <c r="I68" s="665">
        <f t="shared" si="57"/>
        <v>3500</v>
      </c>
      <c r="J68" s="665">
        <f t="shared" si="58"/>
        <v>42500</v>
      </c>
      <c r="K68" s="680"/>
    </row>
    <row r="69" spans="1:11">
      <c r="A69" s="660"/>
      <c r="B69" s="845" t="s">
        <v>465</v>
      </c>
      <c r="C69" s="684"/>
      <c r="D69" s="665">
        <v>2</v>
      </c>
      <c r="E69" s="685" t="s">
        <v>17</v>
      </c>
      <c r="F69" s="687">
        <v>7600</v>
      </c>
      <c r="G69" s="665">
        <f t="shared" ref="G69" si="59">D69*F69</f>
        <v>15200</v>
      </c>
      <c r="H69" s="667">
        <v>700</v>
      </c>
      <c r="I69" s="665">
        <f t="shared" ref="I69" si="60">SUM(D69*H69)</f>
        <v>1400</v>
      </c>
      <c r="J69" s="665">
        <f t="shared" ref="J69" si="61">I69+G69</f>
        <v>16600</v>
      </c>
      <c r="K69" s="680"/>
    </row>
    <row r="70" spans="1:11">
      <c r="A70" s="660"/>
      <c r="B70" s="845" t="s">
        <v>490</v>
      </c>
      <c r="C70" s="684"/>
      <c r="D70" s="665">
        <v>1</v>
      </c>
      <c r="E70" s="685" t="s">
        <v>17</v>
      </c>
      <c r="F70" s="687">
        <v>4500</v>
      </c>
      <c r="G70" s="665">
        <f t="shared" ref="G70" si="62">D70*F70</f>
        <v>4500</v>
      </c>
      <c r="H70" s="667">
        <v>700</v>
      </c>
      <c r="I70" s="665">
        <f t="shared" ref="I70" si="63">SUM(D70*H70)</f>
        <v>700</v>
      </c>
      <c r="J70" s="665">
        <f t="shared" ref="J70" si="64">I70+G70</f>
        <v>5200</v>
      </c>
      <c r="K70" s="680" t="s">
        <v>456</v>
      </c>
    </row>
    <row r="71" spans="1:11">
      <c r="A71" s="660"/>
      <c r="B71" s="845" t="s">
        <v>468</v>
      </c>
      <c r="C71" s="684"/>
      <c r="D71" s="665">
        <v>1</v>
      </c>
      <c r="E71" s="685" t="s">
        <v>17</v>
      </c>
      <c r="F71" s="687">
        <v>8000</v>
      </c>
      <c r="G71" s="665">
        <f t="shared" ref="G71" si="65">D71*F71</f>
        <v>8000</v>
      </c>
      <c r="H71" s="667">
        <v>700</v>
      </c>
      <c r="I71" s="665">
        <f t="shared" ref="I71" si="66">SUM(D71*H71)</f>
        <v>700</v>
      </c>
      <c r="J71" s="665">
        <f t="shared" ref="J71" si="67">I71+G71</f>
        <v>8700</v>
      </c>
      <c r="K71" s="680"/>
    </row>
    <row r="72" spans="1:11" ht="23.25" customHeight="1">
      <c r="A72" s="674"/>
      <c r="B72" s="845"/>
      <c r="C72" s="715"/>
      <c r="D72" s="678"/>
      <c r="E72" s="711"/>
      <c r="F72" s="814"/>
      <c r="G72" s="665"/>
      <c r="H72" s="679"/>
      <c r="I72" s="665"/>
      <c r="J72" s="665"/>
      <c r="K72" s="680"/>
    </row>
    <row r="73" spans="1:11">
      <c r="A73" s="660"/>
      <c r="B73" s="741" t="s">
        <v>491</v>
      </c>
      <c r="C73" s="846"/>
      <c r="D73" s="847">
        <v>1</v>
      </c>
      <c r="E73" s="664" t="s">
        <v>17</v>
      </c>
      <c r="F73" s="665">
        <v>12000</v>
      </c>
      <c r="G73" s="665">
        <f t="shared" si="56"/>
        <v>12000</v>
      </c>
      <c r="H73" s="667">
        <v>1500</v>
      </c>
      <c r="I73" s="665">
        <f t="shared" si="57"/>
        <v>1500</v>
      </c>
      <c r="J73" s="665">
        <f t="shared" si="58"/>
        <v>13500</v>
      </c>
      <c r="K73" s="680" t="s">
        <v>456</v>
      </c>
    </row>
    <row r="74" spans="1:11">
      <c r="A74" s="674"/>
      <c r="B74" s="741" t="s">
        <v>492</v>
      </c>
      <c r="C74" s="846"/>
      <c r="D74" s="847">
        <v>1</v>
      </c>
      <c r="E74" s="664" t="s">
        <v>17</v>
      </c>
      <c r="F74" s="665">
        <v>8560</v>
      </c>
      <c r="G74" s="665">
        <f t="shared" ref="G74:G78" si="68">D74*F74</f>
        <v>8560</v>
      </c>
      <c r="H74" s="667">
        <v>1000</v>
      </c>
      <c r="I74" s="665">
        <f t="shared" ref="I74:I78" si="69">SUM(D74*H74)</f>
        <v>1000</v>
      </c>
      <c r="J74" s="665">
        <f t="shared" ref="J74:J78" si="70">I74+G74</f>
        <v>9560</v>
      </c>
      <c r="K74" s="680" t="s">
        <v>456</v>
      </c>
    </row>
    <row r="75" spans="1:11">
      <c r="A75" s="660"/>
      <c r="B75" s="741" t="s">
        <v>493</v>
      </c>
      <c r="C75" s="846"/>
      <c r="D75" s="847">
        <v>6</v>
      </c>
      <c r="E75" s="664" t="s">
        <v>17</v>
      </c>
      <c r="F75" s="665">
        <v>7580</v>
      </c>
      <c r="G75" s="665">
        <f t="shared" si="68"/>
        <v>45480</v>
      </c>
      <c r="H75" s="667">
        <v>500</v>
      </c>
      <c r="I75" s="665">
        <f t="shared" si="69"/>
        <v>3000</v>
      </c>
      <c r="J75" s="665">
        <f t="shared" si="70"/>
        <v>48480</v>
      </c>
      <c r="K75" s="680" t="s">
        <v>456</v>
      </c>
    </row>
    <row r="76" spans="1:11">
      <c r="A76" s="660"/>
      <c r="B76" s="741" t="s">
        <v>494</v>
      </c>
      <c r="C76" s="846"/>
      <c r="D76" s="847">
        <v>3</v>
      </c>
      <c r="E76" s="664" t="s">
        <v>17</v>
      </c>
      <c r="F76" s="665">
        <v>4800</v>
      </c>
      <c r="G76" s="665">
        <f t="shared" ref="G76" si="71">D76*F76</f>
        <v>14400</v>
      </c>
      <c r="H76" s="667">
        <v>500</v>
      </c>
      <c r="I76" s="665">
        <f t="shared" ref="I76" si="72">SUM(D76*H76)</f>
        <v>1500</v>
      </c>
      <c r="J76" s="665">
        <f t="shared" ref="J76" si="73">I76+G76</f>
        <v>15900</v>
      </c>
      <c r="K76" s="680" t="s">
        <v>456</v>
      </c>
    </row>
    <row r="77" spans="1:11">
      <c r="A77" s="674"/>
      <c r="B77" s="741" t="s">
        <v>495</v>
      </c>
      <c r="C77" s="846"/>
      <c r="D77" s="847">
        <v>2</v>
      </c>
      <c r="E77" s="664" t="s">
        <v>17</v>
      </c>
      <c r="F77" s="665">
        <v>2500</v>
      </c>
      <c r="G77" s="665">
        <f t="shared" si="68"/>
        <v>5000</v>
      </c>
      <c r="H77" s="667">
        <v>500</v>
      </c>
      <c r="I77" s="665">
        <f t="shared" si="69"/>
        <v>1000</v>
      </c>
      <c r="J77" s="665">
        <f t="shared" si="70"/>
        <v>6000</v>
      </c>
      <c r="K77" s="680" t="s">
        <v>456</v>
      </c>
    </row>
    <row r="78" spans="1:11">
      <c r="A78" s="674"/>
      <c r="B78" s="741" t="s">
        <v>496</v>
      </c>
      <c r="C78" s="846"/>
      <c r="D78" s="847">
        <v>2</v>
      </c>
      <c r="E78" s="664" t="s">
        <v>17</v>
      </c>
      <c r="F78" s="665">
        <v>2000</v>
      </c>
      <c r="G78" s="665">
        <f t="shared" si="68"/>
        <v>4000</v>
      </c>
      <c r="H78" s="667">
        <v>500</v>
      </c>
      <c r="I78" s="665">
        <f t="shared" si="69"/>
        <v>1000</v>
      </c>
      <c r="J78" s="665">
        <f t="shared" si="70"/>
        <v>5000</v>
      </c>
      <c r="K78" s="680" t="s">
        <v>456</v>
      </c>
    </row>
    <row r="79" spans="1:11">
      <c r="A79" s="692"/>
      <c r="B79" s="848"/>
      <c r="C79" s="849"/>
      <c r="D79" s="724"/>
      <c r="E79" s="692"/>
      <c r="F79" s="792"/>
      <c r="G79" s="665"/>
      <c r="H79" s="850"/>
      <c r="I79" s="665"/>
      <c r="J79" s="665"/>
      <c r="K79" s="851"/>
    </row>
    <row r="80" spans="1:11">
      <c r="A80" s="646"/>
      <c r="B80" s="647" t="s">
        <v>455</v>
      </c>
      <c r="C80" s="852">
        <v>158.38</v>
      </c>
      <c r="D80" s="783"/>
      <c r="E80" s="755"/>
      <c r="F80" s="736"/>
      <c r="G80" s="853">
        <f>SUM(G67:G79)</f>
        <v>190140</v>
      </c>
      <c r="H80" s="853"/>
      <c r="I80" s="853">
        <f>SUM(I67:I79)</f>
        <v>16800</v>
      </c>
      <c r="J80" s="853">
        <f>SUM(J67:J79)</f>
        <v>206940</v>
      </c>
      <c r="K80" s="854"/>
    </row>
    <row r="81" spans="1:12">
      <c r="A81" s="706">
        <v>2.7</v>
      </c>
      <c r="B81" s="737" t="s">
        <v>95</v>
      </c>
      <c r="C81" s="855">
        <v>126.28</v>
      </c>
      <c r="D81" s="679"/>
      <c r="E81" s="674"/>
      <c r="F81" s="678"/>
      <c r="G81" s="856"/>
      <c r="H81" s="857"/>
      <c r="I81" s="856"/>
      <c r="J81" s="856"/>
      <c r="K81" s="753"/>
    </row>
    <row r="82" spans="1:12">
      <c r="A82" s="660"/>
      <c r="B82" s="741" t="s">
        <v>124</v>
      </c>
      <c r="C82" s="858">
        <v>246.66</v>
      </c>
      <c r="D82" s="667">
        <v>155</v>
      </c>
      <c r="E82" s="660" t="s">
        <v>16</v>
      </c>
      <c r="F82" s="665">
        <v>71</v>
      </c>
      <c r="G82" s="665">
        <f t="shared" ref="G82:G84" si="74">D82*F82</f>
        <v>11005</v>
      </c>
      <c r="H82" s="859">
        <v>35</v>
      </c>
      <c r="I82" s="665">
        <f t="shared" ref="I82:I84" si="75">SUM(D82*H82)</f>
        <v>5425</v>
      </c>
      <c r="J82" s="665">
        <f>I82+G82</f>
        <v>16430</v>
      </c>
      <c r="K82" s="680"/>
    </row>
    <row r="83" spans="1:12" ht="19.5" customHeight="1">
      <c r="A83" s="660"/>
      <c r="B83" s="741" t="s">
        <v>125</v>
      </c>
      <c r="C83" s="858">
        <v>246.66</v>
      </c>
      <c r="D83" s="667">
        <v>325</v>
      </c>
      <c r="E83" s="660" t="s">
        <v>16</v>
      </c>
      <c r="F83" s="665">
        <v>71</v>
      </c>
      <c r="G83" s="665">
        <f t="shared" si="74"/>
        <v>23075</v>
      </c>
      <c r="H83" s="859">
        <v>35</v>
      </c>
      <c r="I83" s="665">
        <f t="shared" si="75"/>
        <v>11375</v>
      </c>
      <c r="J83" s="665">
        <f>I83+G83</f>
        <v>34450</v>
      </c>
      <c r="K83" s="680"/>
    </row>
    <row r="84" spans="1:12">
      <c r="A84" s="660"/>
      <c r="B84" s="741" t="s">
        <v>130</v>
      </c>
      <c r="C84" s="858"/>
      <c r="D84" s="667">
        <v>138</v>
      </c>
      <c r="E84" s="660" t="s">
        <v>16</v>
      </c>
      <c r="F84" s="665">
        <v>71</v>
      </c>
      <c r="G84" s="665">
        <f t="shared" si="74"/>
        <v>9798</v>
      </c>
      <c r="H84" s="859">
        <v>35</v>
      </c>
      <c r="I84" s="665">
        <f t="shared" si="75"/>
        <v>4830</v>
      </c>
      <c r="J84" s="665">
        <f>I84+G84</f>
        <v>14628</v>
      </c>
      <c r="K84" s="680"/>
    </row>
    <row r="85" spans="1:12">
      <c r="A85" s="660"/>
      <c r="B85" s="741" t="s">
        <v>129</v>
      </c>
      <c r="C85" s="858"/>
      <c r="D85" s="667">
        <v>62</v>
      </c>
      <c r="E85" s="660" t="s">
        <v>16</v>
      </c>
      <c r="F85" s="665">
        <v>55</v>
      </c>
      <c r="G85" s="665">
        <f t="shared" ref="G85" si="76">D85*F85</f>
        <v>3410</v>
      </c>
      <c r="H85" s="859">
        <v>55</v>
      </c>
      <c r="I85" s="665">
        <f t="shared" ref="I85" si="77">SUM(D85*H85)</f>
        <v>3410</v>
      </c>
      <c r="J85" s="665">
        <f>I85+G85</f>
        <v>6820</v>
      </c>
      <c r="K85" s="680"/>
    </row>
    <row r="86" spans="1:12">
      <c r="A86" s="692"/>
      <c r="B86" s="848"/>
      <c r="C86" s="849">
        <v>246.66</v>
      </c>
      <c r="D86" s="724"/>
      <c r="E86" s="692"/>
      <c r="F86" s="792"/>
      <c r="G86" s="860"/>
      <c r="H86" s="850"/>
      <c r="I86" s="860"/>
      <c r="J86" s="860"/>
      <c r="K86" s="851"/>
    </row>
    <row r="87" spans="1:12">
      <c r="A87" s="646"/>
      <c r="B87" s="647" t="s">
        <v>325</v>
      </c>
      <c r="C87" s="795"/>
      <c r="D87" s="861"/>
      <c r="E87" s="755"/>
      <c r="F87" s="736"/>
      <c r="G87" s="853">
        <f>SUM(G82:G86)</f>
        <v>47288</v>
      </c>
      <c r="H87" s="862"/>
      <c r="I87" s="853">
        <f>SUM(I82:I86)</f>
        <v>25040</v>
      </c>
      <c r="J87" s="853">
        <f>SUM(J82:J86)</f>
        <v>72328</v>
      </c>
      <c r="K87" s="854"/>
    </row>
    <row r="88" spans="1:12" ht="19.5" customHeight="1">
      <c r="A88" s="863">
        <v>2.8</v>
      </c>
      <c r="B88" s="864" t="s">
        <v>466</v>
      </c>
      <c r="C88" s="865"/>
      <c r="D88" s="866"/>
      <c r="E88" s="867"/>
      <c r="F88" s="651"/>
      <c r="G88" s="868"/>
      <c r="H88" s="869"/>
      <c r="I88" s="868"/>
      <c r="J88" s="868"/>
      <c r="K88" s="680"/>
    </row>
    <row r="89" spans="1:12">
      <c r="A89" s="674"/>
      <c r="B89" s="845" t="s">
        <v>467</v>
      </c>
      <c r="C89" s="838"/>
      <c r="D89" s="679">
        <v>8</v>
      </c>
      <c r="E89" s="674" t="s">
        <v>19</v>
      </c>
      <c r="F89" s="678">
        <v>2500</v>
      </c>
      <c r="G89" s="790">
        <f>F89*D89</f>
        <v>20000</v>
      </c>
      <c r="H89" s="871"/>
      <c r="I89" s="665">
        <f t="shared" ref="I89" si="78">SUM(D89*H89)</f>
        <v>0</v>
      </c>
      <c r="J89" s="665">
        <f>I89+G89</f>
        <v>20000</v>
      </c>
      <c r="K89" s="680"/>
    </row>
    <row r="90" spans="1:12">
      <c r="A90" s="674"/>
      <c r="B90" s="845" t="s">
        <v>497</v>
      </c>
      <c r="C90" s="715"/>
      <c r="D90" s="872">
        <v>1</v>
      </c>
      <c r="E90" s="674" t="s">
        <v>17</v>
      </c>
      <c r="F90" s="873">
        <v>6500</v>
      </c>
      <c r="G90" s="697">
        <f>F90*D90</f>
        <v>6500</v>
      </c>
      <c r="H90" s="665">
        <v>300</v>
      </c>
      <c r="I90" s="697">
        <f>H90*D90</f>
        <v>300</v>
      </c>
      <c r="J90" s="665">
        <f>I90+G90</f>
        <v>6800</v>
      </c>
      <c r="K90" s="680"/>
    </row>
    <row r="91" spans="1:12" hidden="1">
      <c r="A91" s="674"/>
      <c r="B91" s="845" t="s">
        <v>442</v>
      </c>
      <c r="C91" s="715"/>
      <c r="D91" s="872">
        <v>0</v>
      </c>
      <c r="E91" s="674" t="s">
        <v>17</v>
      </c>
      <c r="F91" s="873"/>
      <c r="G91" s="748">
        <f t="shared" ref="G91" si="79">D91*F91</f>
        <v>0</v>
      </c>
      <c r="H91" s="874"/>
      <c r="I91" s="748">
        <f t="shared" ref="I91" si="80">SUM(D91*H91)</f>
        <v>0</v>
      </c>
      <c r="J91" s="748">
        <f t="shared" ref="J91" si="81">I91+G91</f>
        <v>0</v>
      </c>
      <c r="K91" s="749"/>
    </row>
    <row r="92" spans="1:12" hidden="1">
      <c r="A92" s="674"/>
      <c r="B92" s="845" t="s">
        <v>433</v>
      </c>
      <c r="C92" s="715"/>
      <c r="D92" s="679">
        <v>0</v>
      </c>
      <c r="E92" s="674" t="s">
        <v>332</v>
      </c>
      <c r="F92" s="678"/>
      <c r="G92" s="665">
        <f t="shared" ref="G92" si="82">D92*F92</f>
        <v>0</v>
      </c>
      <c r="H92" s="857"/>
      <c r="I92" s="665">
        <f t="shared" ref="I92" si="83">SUM(D92*H92)</f>
        <v>0</v>
      </c>
      <c r="J92" s="665">
        <f t="shared" ref="J92" si="84">I92+G92</f>
        <v>0</v>
      </c>
      <c r="K92" s="680"/>
    </row>
    <row r="93" spans="1:12">
      <c r="A93" s="692"/>
      <c r="B93" s="848"/>
      <c r="C93" s="849">
        <v>304.91000000000003</v>
      </c>
      <c r="D93" s="810"/>
      <c r="E93" s="804"/>
      <c r="F93" s="809"/>
      <c r="G93" s="875"/>
      <c r="H93" s="876"/>
      <c r="I93" s="875"/>
      <c r="J93" s="875"/>
      <c r="K93" s="699"/>
    </row>
    <row r="94" spans="1:12">
      <c r="A94" s="755"/>
      <c r="B94" s="647" t="s">
        <v>326</v>
      </c>
      <c r="C94" s="852">
        <v>304.64999999999998</v>
      </c>
      <c r="D94" s="783"/>
      <c r="E94" s="755"/>
      <c r="F94" s="736"/>
      <c r="G94" s="853">
        <f>SUM(G89:G93)</f>
        <v>26500</v>
      </c>
      <c r="H94" s="853"/>
      <c r="I94" s="853">
        <f>SUM(I89:I93)</f>
        <v>300</v>
      </c>
      <c r="J94" s="853">
        <f>SUM(J89:J93)</f>
        <v>26800</v>
      </c>
      <c r="K94" s="877"/>
    </row>
    <row r="95" spans="1:12">
      <c r="A95" s="755"/>
      <c r="B95" s="647"/>
      <c r="C95" s="852"/>
      <c r="D95" s="783"/>
      <c r="E95" s="755"/>
      <c r="F95" s="736"/>
      <c r="G95" s="853"/>
      <c r="H95" s="862"/>
      <c r="I95" s="853"/>
      <c r="J95" s="878"/>
      <c r="K95" s="877"/>
    </row>
    <row r="96" spans="1:12">
      <c r="A96" s="755"/>
      <c r="B96" s="647" t="s">
        <v>97</v>
      </c>
      <c r="C96" s="852">
        <v>304.64999999999998</v>
      </c>
      <c r="D96" s="783"/>
      <c r="E96" s="755"/>
      <c r="F96" s="736"/>
      <c r="G96" s="878">
        <f>+G94+G87+G80+G65+G50+G41+G25+G32</f>
        <v>697250.5</v>
      </c>
      <c r="H96" s="878"/>
      <c r="I96" s="878">
        <f>+I94+I87+I80+I65+I50+I41+I25+I32</f>
        <v>288035</v>
      </c>
      <c r="J96" s="878">
        <f>J94+J87+J80+J65+J50+J41+J32+J25</f>
        <v>985285.5</v>
      </c>
      <c r="K96" s="877"/>
      <c r="L96" s="697">
        <f>J96/115</f>
        <v>8567.7000000000007</v>
      </c>
    </row>
    <row r="97" spans="1:11">
      <c r="A97" s="706">
        <v>2.1</v>
      </c>
      <c r="B97" s="786" t="s">
        <v>1</v>
      </c>
      <c r="C97" s="675"/>
      <c r="D97" s="676"/>
      <c r="E97" s="677"/>
      <c r="F97" s="678"/>
      <c r="G97" s="665">
        <f>D97*F97</f>
        <v>0</v>
      </c>
      <c r="H97" s="679"/>
      <c r="I97" s="665">
        <f t="shared" ref="I97:I102" si="85">SUM(D97*H97)</f>
        <v>0</v>
      </c>
      <c r="J97" s="665">
        <f t="shared" ref="J97:J106" si="86">I97+G97</f>
        <v>0</v>
      </c>
      <c r="K97" s="879"/>
    </row>
    <row r="98" spans="1:11">
      <c r="A98" s="660" t="s">
        <v>135</v>
      </c>
      <c r="B98" s="788" t="s">
        <v>463</v>
      </c>
      <c r="C98" s="684"/>
      <c r="D98" s="676">
        <v>1183</v>
      </c>
      <c r="E98" s="685" t="s">
        <v>16</v>
      </c>
      <c r="F98" s="665">
        <v>277</v>
      </c>
      <c r="G98" s="665">
        <f t="shared" ref="G98" si="87">D98*F98</f>
        <v>327691</v>
      </c>
      <c r="H98" s="790">
        <v>89</v>
      </c>
      <c r="I98" s="665">
        <f t="shared" si="85"/>
        <v>105287</v>
      </c>
      <c r="J98" s="665">
        <f t="shared" si="86"/>
        <v>432978</v>
      </c>
      <c r="K98" s="680"/>
    </row>
    <row r="99" spans="1:11">
      <c r="A99" s="660" t="s">
        <v>136</v>
      </c>
      <c r="B99" s="788" t="s">
        <v>437</v>
      </c>
      <c r="C99" s="684"/>
      <c r="D99" s="676">
        <v>50</v>
      </c>
      <c r="E99" s="685" t="s">
        <v>16</v>
      </c>
      <c r="F99" s="665">
        <v>566</v>
      </c>
      <c r="G99" s="665">
        <f t="shared" ref="G99:G101" si="88">D99*F99</f>
        <v>28300</v>
      </c>
      <c r="H99" s="790">
        <v>167</v>
      </c>
      <c r="I99" s="665">
        <f t="shared" si="85"/>
        <v>8350</v>
      </c>
      <c r="J99" s="665">
        <f t="shared" ref="J99:J101" si="89">I99+G99</f>
        <v>36650</v>
      </c>
      <c r="K99" s="680"/>
    </row>
    <row r="100" spans="1:11">
      <c r="A100" s="660" t="s">
        <v>137</v>
      </c>
      <c r="B100" s="788" t="s">
        <v>201</v>
      </c>
      <c r="C100" s="684"/>
      <c r="D100" s="676">
        <v>1950</v>
      </c>
      <c r="E100" s="685" t="s">
        <v>16</v>
      </c>
      <c r="F100" s="665">
        <v>85</v>
      </c>
      <c r="G100" s="665">
        <f t="shared" ref="G100" si="90">D100*F100</f>
        <v>165750</v>
      </c>
      <c r="H100" s="790">
        <v>82</v>
      </c>
      <c r="I100" s="665">
        <f t="shared" si="85"/>
        <v>159900</v>
      </c>
      <c r="J100" s="665">
        <f t="shared" ref="J100" si="91">I100+G100</f>
        <v>325650</v>
      </c>
      <c r="K100" s="680"/>
    </row>
    <row r="101" spans="1:11">
      <c r="A101" s="660" t="s">
        <v>243</v>
      </c>
      <c r="B101" s="788" t="s">
        <v>315</v>
      </c>
      <c r="C101" s="684"/>
      <c r="D101" s="676">
        <v>50</v>
      </c>
      <c r="E101" s="685" t="s">
        <v>16</v>
      </c>
      <c r="F101" s="665">
        <v>350</v>
      </c>
      <c r="G101" s="665">
        <f t="shared" si="88"/>
        <v>17500</v>
      </c>
      <c r="H101" s="790">
        <v>200</v>
      </c>
      <c r="I101" s="665">
        <f t="shared" si="85"/>
        <v>10000</v>
      </c>
      <c r="J101" s="665">
        <f t="shared" si="89"/>
        <v>27500</v>
      </c>
      <c r="K101" s="680"/>
    </row>
    <row r="102" spans="1:11">
      <c r="A102" s="660" t="s">
        <v>244</v>
      </c>
      <c r="B102" s="788" t="s">
        <v>316</v>
      </c>
      <c r="C102" s="684"/>
      <c r="D102" s="676">
        <v>10</v>
      </c>
      <c r="E102" s="685" t="s">
        <v>16</v>
      </c>
      <c r="F102" s="665">
        <v>450</v>
      </c>
      <c r="G102" s="665">
        <f t="shared" ref="G102" si="92">D102*F102</f>
        <v>4500</v>
      </c>
      <c r="H102" s="790">
        <v>150</v>
      </c>
      <c r="I102" s="665">
        <f t="shared" si="85"/>
        <v>1500</v>
      </c>
      <c r="J102" s="665">
        <f t="shared" ref="J102" si="93">I102+G102</f>
        <v>6000</v>
      </c>
      <c r="K102" s="680"/>
    </row>
    <row r="103" spans="1:11">
      <c r="A103" s="660" t="s">
        <v>281</v>
      </c>
      <c r="B103" s="661" t="s">
        <v>202</v>
      </c>
      <c r="C103" s="684"/>
      <c r="D103" s="676">
        <v>520</v>
      </c>
      <c r="E103" s="685" t="s">
        <v>16</v>
      </c>
      <c r="F103" s="687">
        <v>300</v>
      </c>
      <c r="G103" s="665">
        <f t="shared" ref="G103" si="94">D103*F103</f>
        <v>156000</v>
      </c>
      <c r="H103" s="789">
        <v>150</v>
      </c>
      <c r="I103" s="665">
        <f t="shared" ref="I103" si="95">SUM(D103*H103)</f>
        <v>78000</v>
      </c>
      <c r="J103" s="665">
        <f t="shared" ref="J103" si="96">I103+G103</f>
        <v>234000</v>
      </c>
      <c r="K103" s="680"/>
    </row>
    <row r="104" spans="1:11">
      <c r="A104" s="692"/>
      <c r="B104" s="791"/>
      <c r="C104" s="698"/>
      <c r="D104" s="721"/>
      <c r="E104" s="722"/>
      <c r="F104" s="723"/>
      <c r="G104" s="724"/>
      <c r="H104" s="724"/>
      <c r="I104" s="792">
        <f>SUM(D104*H104)</f>
        <v>0</v>
      </c>
      <c r="J104" s="792">
        <f t="shared" si="86"/>
        <v>0</v>
      </c>
      <c r="K104" s="793"/>
    </row>
    <row r="105" spans="1:11">
      <c r="A105" s="755"/>
      <c r="B105" s="794" t="s">
        <v>29</v>
      </c>
      <c r="C105" s="795"/>
      <c r="D105" s="796"/>
      <c r="E105" s="797"/>
      <c r="F105" s="736"/>
      <c r="G105" s="729">
        <f>SUM(G97:G104)</f>
        <v>699741</v>
      </c>
      <c r="H105" s="731"/>
      <c r="I105" s="729">
        <f>SUM(I97:I104)</f>
        <v>363037</v>
      </c>
      <c r="J105" s="729">
        <f>SUM(J97:J104)</f>
        <v>1062778</v>
      </c>
      <c r="K105" s="732"/>
    </row>
    <row r="106" spans="1:11">
      <c r="A106" s="706">
        <v>2.2000000000000002</v>
      </c>
      <c r="B106" s="798" t="s">
        <v>0</v>
      </c>
      <c r="C106" s="715"/>
      <c r="D106" s="676"/>
      <c r="E106" s="711"/>
      <c r="F106" s="678"/>
      <c r="G106" s="679"/>
      <c r="H106" s="679"/>
      <c r="I106" s="678">
        <f>SUM(D106*H106)</f>
        <v>0</v>
      </c>
      <c r="J106" s="678">
        <f t="shared" si="86"/>
        <v>0</v>
      </c>
      <c r="K106" s="799"/>
    </row>
    <row r="107" spans="1:11">
      <c r="A107" s="660" t="s">
        <v>138</v>
      </c>
      <c r="B107" s="661" t="s">
        <v>280</v>
      </c>
      <c r="C107" s="684" t="s">
        <v>16</v>
      </c>
      <c r="D107" s="676">
        <v>550</v>
      </c>
      <c r="E107" s="685" t="s">
        <v>16</v>
      </c>
      <c r="F107" s="687">
        <v>850</v>
      </c>
      <c r="G107" s="665">
        <f t="shared" ref="G107:G109" si="97">D107*F107</f>
        <v>467500</v>
      </c>
      <c r="H107" s="667">
        <v>220</v>
      </c>
      <c r="I107" s="665">
        <f t="shared" ref="I107:I109" si="98">SUM(D107*H107)</f>
        <v>121000</v>
      </c>
      <c r="J107" s="665">
        <f>I107+G107</f>
        <v>588500</v>
      </c>
      <c r="K107" s="680"/>
    </row>
    <row r="108" spans="1:11">
      <c r="A108" s="660" t="s">
        <v>139</v>
      </c>
      <c r="B108" s="661" t="s">
        <v>279</v>
      </c>
      <c r="C108" s="684" t="s">
        <v>16</v>
      </c>
      <c r="D108" s="676">
        <v>1800</v>
      </c>
      <c r="E108" s="685" t="s">
        <v>16</v>
      </c>
      <c r="F108" s="687">
        <v>550</v>
      </c>
      <c r="G108" s="665">
        <f t="shared" ref="G108" si="99">D108*F108</f>
        <v>990000</v>
      </c>
      <c r="H108" s="667">
        <v>220</v>
      </c>
      <c r="I108" s="665">
        <f t="shared" ref="I108" si="100">SUM(D108*H108)</f>
        <v>396000</v>
      </c>
      <c r="J108" s="665">
        <f>I108+G108</f>
        <v>1386000</v>
      </c>
      <c r="K108" s="680"/>
    </row>
    <row r="109" spans="1:11">
      <c r="A109" s="660" t="s">
        <v>182</v>
      </c>
      <c r="B109" s="661" t="s">
        <v>245</v>
      </c>
      <c r="C109" s="684" t="s">
        <v>16</v>
      </c>
      <c r="D109" s="676">
        <v>120</v>
      </c>
      <c r="E109" s="685" t="s">
        <v>16</v>
      </c>
      <c r="F109" s="687">
        <v>450</v>
      </c>
      <c r="G109" s="665">
        <f t="shared" si="97"/>
        <v>54000</v>
      </c>
      <c r="H109" s="667">
        <v>158</v>
      </c>
      <c r="I109" s="665">
        <f t="shared" si="98"/>
        <v>18960</v>
      </c>
      <c r="J109" s="665">
        <f t="shared" ref="J109:J115" si="101">I109+G109</f>
        <v>72960</v>
      </c>
      <c r="K109" s="680"/>
    </row>
    <row r="110" spans="1:11">
      <c r="A110" s="660" t="s">
        <v>140</v>
      </c>
      <c r="B110" s="661" t="s">
        <v>283</v>
      </c>
      <c r="C110" s="684" t="s">
        <v>16</v>
      </c>
      <c r="D110" s="676">
        <v>25</v>
      </c>
      <c r="E110" s="685" t="s">
        <v>16</v>
      </c>
      <c r="F110" s="687">
        <v>500</v>
      </c>
      <c r="G110" s="665">
        <f t="shared" ref="G110" si="102">D110*F110</f>
        <v>12500</v>
      </c>
      <c r="H110" s="667">
        <v>200</v>
      </c>
      <c r="I110" s="665">
        <f t="shared" ref="I110" si="103">SUM(D110*H110)</f>
        <v>5000</v>
      </c>
      <c r="J110" s="665">
        <f t="shared" si="101"/>
        <v>17500</v>
      </c>
      <c r="K110" s="680"/>
    </row>
    <row r="111" spans="1:11">
      <c r="A111" s="660" t="s">
        <v>194</v>
      </c>
      <c r="B111" s="661" t="s">
        <v>183</v>
      </c>
      <c r="C111" s="684"/>
      <c r="D111" s="676">
        <f>D107+D109+D110+D108</f>
        <v>2495</v>
      </c>
      <c r="E111" s="685" t="s">
        <v>16</v>
      </c>
      <c r="F111" s="687">
        <v>100</v>
      </c>
      <c r="G111" s="665">
        <f t="shared" ref="G111:G112" si="104">D111*F111</f>
        <v>249500</v>
      </c>
      <c r="H111" s="667">
        <v>80</v>
      </c>
      <c r="I111" s="665">
        <f t="shared" ref="I111:I112" si="105">SUM(D111*H111)</f>
        <v>199600</v>
      </c>
      <c r="J111" s="665">
        <f t="shared" si="101"/>
        <v>449100</v>
      </c>
      <c r="K111" s="680"/>
    </row>
    <row r="112" spans="1:11">
      <c r="A112" s="660" t="s">
        <v>238</v>
      </c>
      <c r="B112" s="661" t="s">
        <v>284</v>
      </c>
      <c r="C112" s="684" t="s">
        <v>16</v>
      </c>
      <c r="D112" s="676">
        <v>30</v>
      </c>
      <c r="E112" s="685" t="s">
        <v>16</v>
      </c>
      <c r="F112" s="687">
        <v>100</v>
      </c>
      <c r="G112" s="665">
        <f t="shared" si="104"/>
        <v>3000</v>
      </c>
      <c r="H112" s="667">
        <v>100</v>
      </c>
      <c r="I112" s="665">
        <f t="shared" si="105"/>
        <v>3000</v>
      </c>
      <c r="J112" s="665">
        <f t="shared" ref="J112" si="106">I112+G112</f>
        <v>6000</v>
      </c>
      <c r="K112" s="680"/>
    </row>
    <row r="113" spans="1:11">
      <c r="A113" s="660" t="s">
        <v>241</v>
      </c>
      <c r="B113" s="661" t="s">
        <v>248</v>
      </c>
      <c r="C113" s="684" t="s">
        <v>16</v>
      </c>
      <c r="D113" s="676">
        <v>1100</v>
      </c>
      <c r="E113" s="685" t="s">
        <v>16</v>
      </c>
      <c r="F113" s="665">
        <v>450</v>
      </c>
      <c r="G113" s="665">
        <f t="shared" ref="G113:G114" si="107">D113*F113</f>
        <v>495000</v>
      </c>
      <c r="H113" s="667">
        <v>120</v>
      </c>
      <c r="I113" s="665">
        <f t="shared" ref="I113:I114" si="108">SUM(D113*H113)</f>
        <v>132000</v>
      </c>
      <c r="J113" s="665">
        <f t="shared" si="101"/>
        <v>627000</v>
      </c>
      <c r="K113" s="680"/>
    </row>
    <row r="114" spans="1:11">
      <c r="A114" s="660" t="s">
        <v>246</v>
      </c>
      <c r="B114" s="661" t="s">
        <v>239</v>
      </c>
      <c r="C114" s="684" t="s">
        <v>16</v>
      </c>
      <c r="D114" s="676">
        <v>229</v>
      </c>
      <c r="E114" s="685" t="s">
        <v>240</v>
      </c>
      <c r="F114" s="687">
        <v>550</v>
      </c>
      <c r="G114" s="665">
        <f t="shared" si="107"/>
        <v>125950</v>
      </c>
      <c r="H114" s="667">
        <v>250</v>
      </c>
      <c r="I114" s="665">
        <f t="shared" si="108"/>
        <v>57250</v>
      </c>
      <c r="J114" s="665">
        <f t="shared" si="101"/>
        <v>183200</v>
      </c>
      <c r="K114" s="680"/>
    </row>
    <row r="115" spans="1:11">
      <c r="A115" s="660" t="s">
        <v>247</v>
      </c>
      <c r="B115" s="661" t="s">
        <v>242</v>
      </c>
      <c r="C115" s="684" t="s">
        <v>16</v>
      </c>
      <c r="D115" s="676">
        <v>229</v>
      </c>
      <c r="E115" s="685" t="s">
        <v>240</v>
      </c>
      <c r="F115" s="687">
        <v>250</v>
      </c>
      <c r="G115" s="665">
        <f t="shared" ref="G115" si="109">D115*F115</f>
        <v>57250</v>
      </c>
      <c r="H115" s="667">
        <v>100</v>
      </c>
      <c r="I115" s="665">
        <f t="shared" ref="I115" si="110">SUM(D115*H115)</f>
        <v>22900</v>
      </c>
      <c r="J115" s="665">
        <f t="shared" si="101"/>
        <v>80150</v>
      </c>
      <c r="K115" s="680"/>
    </row>
    <row r="116" spans="1:11">
      <c r="A116" s="692"/>
      <c r="B116" s="719" t="s">
        <v>33</v>
      </c>
      <c r="C116" s="698"/>
      <c r="D116" s="721"/>
      <c r="E116" s="722"/>
      <c r="F116" s="792"/>
      <c r="G116" s="665"/>
      <c r="H116" s="724"/>
      <c r="I116" s="665"/>
      <c r="J116" s="665"/>
      <c r="K116" s="699"/>
    </row>
    <row r="117" spans="1:11">
      <c r="A117" s="755"/>
      <c r="B117" s="794" t="s">
        <v>20</v>
      </c>
      <c r="C117" s="800"/>
      <c r="D117" s="796"/>
      <c r="E117" s="797"/>
      <c r="F117" s="801"/>
      <c r="G117" s="729">
        <f>SUM(G107:G116)</f>
        <v>2454700</v>
      </c>
      <c r="H117" s="731"/>
      <c r="I117" s="729">
        <f>SUM(I107:I116)</f>
        <v>955710</v>
      </c>
      <c r="J117" s="729">
        <f>SUM(J106:J116)</f>
        <v>3410410</v>
      </c>
      <c r="K117" s="802"/>
    </row>
    <row r="118" spans="1:11">
      <c r="A118" s="706">
        <v>2.2999999999999998</v>
      </c>
      <c r="B118" s="798" t="s">
        <v>70</v>
      </c>
      <c r="C118" s="803"/>
      <c r="D118" s="676"/>
      <c r="E118" s="711"/>
      <c r="F118" s="678"/>
      <c r="G118" s="678">
        <f t="shared" ref="G118:G124" si="111">D118*F118</f>
        <v>0</v>
      </c>
      <c r="H118" s="679"/>
      <c r="I118" s="678">
        <f t="shared" ref="I118:I129" si="112">SUM(D118*H118)</f>
        <v>0</v>
      </c>
      <c r="J118" s="678">
        <f>I118+G118</f>
        <v>0</v>
      </c>
      <c r="K118" s="740"/>
    </row>
    <row r="119" spans="1:11">
      <c r="A119" s="660" t="s">
        <v>141</v>
      </c>
      <c r="B119" s="707" t="s">
        <v>196</v>
      </c>
      <c r="C119" s="675"/>
      <c r="D119" s="676">
        <v>1400</v>
      </c>
      <c r="E119" s="711" t="s">
        <v>16</v>
      </c>
      <c r="F119" s="665">
        <v>250</v>
      </c>
      <c r="G119" s="665">
        <f t="shared" ref="G119:G120" si="113">D119*F119</f>
        <v>350000</v>
      </c>
      <c r="H119" s="679">
        <v>100</v>
      </c>
      <c r="I119" s="665">
        <f t="shared" ref="I119:I120" si="114">SUM(D119*H119)</f>
        <v>140000</v>
      </c>
      <c r="J119" s="665">
        <f t="shared" ref="J119" si="115">I119+G119</f>
        <v>490000</v>
      </c>
      <c r="K119" s="680"/>
    </row>
    <row r="120" spans="1:11">
      <c r="A120" s="660"/>
      <c r="B120" s="690" t="s">
        <v>200</v>
      </c>
      <c r="C120" s="684"/>
      <c r="D120" s="676"/>
      <c r="E120" s="685"/>
      <c r="F120" s="687"/>
      <c r="G120" s="665">
        <f t="shared" si="113"/>
        <v>0</v>
      </c>
      <c r="H120" s="667"/>
      <c r="I120" s="665">
        <f t="shared" si="114"/>
        <v>0</v>
      </c>
      <c r="J120" s="665">
        <f>I120+G120</f>
        <v>0</v>
      </c>
      <c r="K120" s="688"/>
    </row>
    <row r="121" spans="1:11">
      <c r="A121" s="692" t="s">
        <v>199</v>
      </c>
      <c r="B121" s="707" t="s">
        <v>195</v>
      </c>
      <c r="C121" s="708"/>
      <c r="D121" s="676">
        <v>200</v>
      </c>
      <c r="E121" s="685" t="s">
        <v>16</v>
      </c>
      <c r="F121" s="665">
        <v>280</v>
      </c>
      <c r="G121" s="665">
        <f t="shared" si="111"/>
        <v>56000</v>
      </c>
      <c r="H121" s="667">
        <v>100</v>
      </c>
      <c r="I121" s="665">
        <f t="shared" si="112"/>
        <v>20000</v>
      </c>
      <c r="J121" s="665">
        <f t="shared" ref="J121:J122" si="116">I121+G121</f>
        <v>76000</v>
      </c>
      <c r="K121" s="680"/>
    </row>
    <row r="122" spans="1:11">
      <c r="A122" s="660" t="s">
        <v>142</v>
      </c>
      <c r="B122" s="707" t="s">
        <v>196</v>
      </c>
      <c r="C122" s="675"/>
      <c r="D122" s="676">
        <v>565</v>
      </c>
      <c r="E122" s="711" t="s">
        <v>16</v>
      </c>
      <c r="F122" s="665">
        <v>295</v>
      </c>
      <c r="G122" s="665">
        <f t="shared" si="111"/>
        <v>166675</v>
      </c>
      <c r="H122" s="679">
        <v>100</v>
      </c>
      <c r="I122" s="665">
        <f t="shared" si="112"/>
        <v>56500</v>
      </c>
      <c r="J122" s="665">
        <f t="shared" si="116"/>
        <v>223175</v>
      </c>
      <c r="K122" s="680"/>
    </row>
    <row r="123" spans="1:11">
      <c r="A123" s="660"/>
      <c r="B123" s="690" t="s">
        <v>127</v>
      </c>
      <c r="C123" s="684"/>
      <c r="D123" s="676"/>
      <c r="E123" s="685"/>
      <c r="F123" s="687"/>
      <c r="G123" s="665">
        <f t="shared" si="111"/>
        <v>0</v>
      </c>
      <c r="H123" s="667"/>
      <c r="I123" s="665">
        <f t="shared" si="112"/>
        <v>0</v>
      </c>
      <c r="J123" s="665">
        <f>I123+G123</f>
        <v>0</v>
      </c>
      <c r="K123" s="688"/>
    </row>
    <row r="124" spans="1:11">
      <c r="A124" s="692" t="s">
        <v>143</v>
      </c>
      <c r="B124" s="714" t="s">
        <v>282</v>
      </c>
      <c r="C124" s="698"/>
      <c r="D124" s="703">
        <v>150</v>
      </c>
      <c r="E124" s="711" t="s">
        <v>16</v>
      </c>
      <c r="F124" s="665">
        <v>500</v>
      </c>
      <c r="G124" s="792">
        <f t="shared" si="111"/>
        <v>75000</v>
      </c>
      <c r="H124" s="724">
        <v>150</v>
      </c>
      <c r="I124" s="792">
        <f t="shared" ref="I124" si="117">SUM(D124*H124)</f>
        <v>22500</v>
      </c>
      <c r="J124" s="665">
        <f>I124+G124</f>
        <v>97500</v>
      </c>
      <c r="K124" s="680"/>
    </row>
    <row r="125" spans="1:11">
      <c r="A125" s="692" t="s">
        <v>143</v>
      </c>
      <c r="B125" s="714" t="s">
        <v>197</v>
      </c>
      <c r="C125" s="698"/>
      <c r="D125" s="703">
        <v>1300</v>
      </c>
      <c r="E125" s="711" t="s">
        <v>16</v>
      </c>
      <c r="F125" s="665">
        <v>500</v>
      </c>
      <c r="G125" s="792">
        <f t="shared" ref="G125:G133" si="118">D125*F125</f>
        <v>650000</v>
      </c>
      <c r="H125" s="724">
        <v>150</v>
      </c>
      <c r="I125" s="792">
        <f t="shared" si="112"/>
        <v>195000</v>
      </c>
      <c r="J125" s="665">
        <f>I125+G125</f>
        <v>845000</v>
      </c>
      <c r="K125" s="680"/>
    </row>
    <row r="126" spans="1:11">
      <c r="A126" s="660"/>
      <c r="B126" s="690" t="s">
        <v>128</v>
      </c>
      <c r="C126" s="684"/>
      <c r="D126" s="676"/>
      <c r="E126" s="685"/>
      <c r="F126" s="665"/>
      <c r="G126" s="665">
        <f t="shared" si="118"/>
        <v>0</v>
      </c>
      <c r="H126" s="667"/>
      <c r="I126" s="665">
        <f t="shared" ref="I126" si="119">SUM(D126*H126)</f>
        <v>0</v>
      </c>
      <c r="J126" s="665">
        <f>I126+G126</f>
        <v>0</v>
      </c>
      <c r="K126" s="688"/>
    </row>
    <row r="127" spans="1:11">
      <c r="A127" s="757"/>
      <c r="B127" s="880"/>
      <c r="C127" s="881"/>
      <c r="D127" s="721"/>
      <c r="E127" s="823"/>
      <c r="F127" s="824"/>
      <c r="G127" s="825"/>
      <c r="H127" s="826"/>
      <c r="I127" s="825"/>
      <c r="J127" s="825"/>
      <c r="K127" s="882"/>
    </row>
    <row r="128" spans="1:11">
      <c r="A128" s="755"/>
      <c r="B128" s="812" t="s">
        <v>4</v>
      </c>
      <c r="C128" s="795"/>
      <c r="D128" s="796"/>
      <c r="E128" s="797"/>
      <c r="F128" s="736"/>
      <c r="G128" s="729">
        <f>SUM(G119:G126)</f>
        <v>1297675</v>
      </c>
      <c r="H128" s="883"/>
      <c r="I128" s="729">
        <f>SUM(I119:I126)</f>
        <v>434000</v>
      </c>
      <c r="J128" s="729">
        <f>SUM(J119:J126)</f>
        <v>1731675</v>
      </c>
      <c r="K128" s="802"/>
    </row>
    <row r="129" spans="1:11">
      <c r="A129" s="706">
        <v>2.4</v>
      </c>
      <c r="B129" s="813" t="s">
        <v>2</v>
      </c>
      <c r="C129" s="715"/>
      <c r="D129" s="676"/>
      <c r="E129" s="711"/>
      <c r="F129" s="814"/>
      <c r="G129" s="678">
        <f t="shared" si="118"/>
        <v>0</v>
      </c>
      <c r="H129" s="815"/>
      <c r="I129" s="678">
        <f t="shared" si="112"/>
        <v>0</v>
      </c>
      <c r="J129" s="678">
        <f t="shared" ref="J129:J136" si="120">I129+G129</f>
        <v>0</v>
      </c>
      <c r="K129" s="740"/>
    </row>
    <row r="130" spans="1:11">
      <c r="A130" s="660" t="s">
        <v>144</v>
      </c>
      <c r="B130" s="816" t="s">
        <v>253</v>
      </c>
      <c r="C130" s="684"/>
      <c r="D130" s="676">
        <v>1500</v>
      </c>
      <c r="E130" s="685" t="s">
        <v>16</v>
      </c>
      <c r="F130" s="687">
        <v>500</v>
      </c>
      <c r="G130" s="665">
        <f t="shared" si="118"/>
        <v>750000</v>
      </c>
      <c r="H130" s="667">
        <v>100</v>
      </c>
      <c r="I130" s="665">
        <f t="shared" ref="I130" si="121">SUM(D130*H130)</f>
        <v>150000</v>
      </c>
      <c r="J130" s="665">
        <f t="shared" si="120"/>
        <v>900000</v>
      </c>
      <c r="K130" s="680"/>
    </row>
    <row r="131" spans="1:11">
      <c r="A131" s="660" t="s">
        <v>145</v>
      </c>
      <c r="B131" s="816" t="s">
        <v>252</v>
      </c>
      <c r="C131" s="684"/>
      <c r="D131" s="676">
        <v>1500</v>
      </c>
      <c r="E131" s="685" t="s">
        <v>16</v>
      </c>
      <c r="F131" s="687">
        <v>150</v>
      </c>
      <c r="G131" s="665">
        <f t="shared" si="118"/>
        <v>225000</v>
      </c>
      <c r="H131" s="667">
        <v>55</v>
      </c>
      <c r="I131" s="665">
        <f t="shared" ref="I131:I135" si="122">SUM(D131*H131)</f>
        <v>82500</v>
      </c>
      <c r="J131" s="665">
        <f t="shared" ref="J131:J133" si="123">I131+G131</f>
        <v>307500</v>
      </c>
      <c r="K131" s="680"/>
    </row>
    <row r="132" spans="1:11">
      <c r="A132" s="660" t="s">
        <v>146</v>
      </c>
      <c r="B132" s="661" t="s">
        <v>255</v>
      </c>
      <c r="C132" s="684"/>
      <c r="D132" s="676">
        <v>80</v>
      </c>
      <c r="E132" s="685" t="s">
        <v>19</v>
      </c>
      <c r="F132" s="687">
        <v>350</v>
      </c>
      <c r="G132" s="665">
        <f t="shared" si="118"/>
        <v>28000</v>
      </c>
      <c r="H132" s="667">
        <v>200</v>
      </c>
      <c r="I132" s="665">
        <f t="shared" si="122"/>
        <v>16000</v>
      </c>
      <c r="J132" s="665">
        <f t="shared" si="123"/>
        <v>44000</v>
      </c>
      <c r="K132" s="680"/>
    </row>
    <row r="133" spans="1:11">
      <c r="A133" s="660" t="s">
        <v>147</v>
      </c>
      <c r="B133" s="816" t="s">
        <v>250</v>
      </c>
      <c r="C133" s="684"/>
      <c r="D133" s="676">
        <v>500</v>
      </c>
      <c r="E133" s="685" t="s">
        <v>249</v>
      </c>
      <c r="F133" s="687">
        <v>300</v>
      </c>
      <c r="G133" s="665">
        <f t="shared" si="118"/>
        <v>150000</v>
      </c>
      <c r="H133" s="667">
        <v>0</v>
      </c>
      <c r="I133" s="665">
        <f t="shared" si="122"/>
        <v>0</v>
      </c>
      <c r="J133" s="665">
        <f t="shared" si="123"/>
        <v>150000</v>
      </c>
      <c r="K133" s="680"/>
    </row>
    <row r="134" spans="1:11">
      <c r="A134" s="660" t="s">
        <v>192</v>
      </c>
      <c r="B134" s="816" t="s">
        <v>251</v>
      </c>
      <c r="C134" s="684"/>
      <c r="D134" s="676">
        <v>50</v>
      </c>
      <c r="E134" s="685" t="s">
        <v>249</v>
      </c>
      <c r="F134" s="687">
        <v>1500</v>
      </c>
      <c r="G134" s="665">
        <f t="shared" ref="G134:G135" si="124">D134*F134</f>
        <v>75000</v>
      </c>
      <c r="H134" s="667">
        <v>0</v>
      </c>
      <c r="I134" s="665">
        <f t="shared" si="122"/>
        <v>0</v>
      </c>
      <c r="J134" s="665">
        <f t="shared" ref="J134:J135" si="125">I134+G134</f>
        <v>75000</v>
      </c>
      <c r="K134" s="680"/>
    </row>
    <row r="135" spans="1:11">
      <c r="A135" s="660" t="s">
        <v>193</v>
      </c>
      <c r="B135" s="661" t="s">
        <v>254</v>
      </c>
      <c r="C135" s="684"/>
      <c r="D135" s="676">
        <v>500</v>
      </c>
      <c r="E135" s="685" t="s">
        <v>249</v>
      </c>
      <c r="F135" s="687">
        <v>650</v>
      </c>
      <c r="G135" s="665">
        <f t="shared" si="124"/>
        <v>325000</v>
      </c>
      <c r="H135" s="667">
        <v>0</v>
      </c>
      <c r="I135" s="665">
        <f t="shared" si="122"/>
        <v>0</v>
      </c>
      <c r="J135" s="665">
        <f t="shared" si="125"/>
        <v>325000</v>
      </c>
      <c r="K135" s="680"/>
    </row>
    <row r="136" spans="1:11">
      <c r="A136" s="660" t="s">
        <v>235</v>
      </c>
      <c r="B136" s="816" t="s">
        <v>234</v>
      </c>
      <c r="C136" s="684"/>
      <c r="D136" s="676">
        <v>1</v>
      </c>
      <c r="E136" s="685" t="s">
        <v>67</v>
      </c>
      <c r="F136" s="687">
        <f>G130*0.3</f>
        <v>225000</v>
      </c>
      <c r="G136" s="665">
        <f t="shared" ref="G136" si="126">D136*F136</f>
        <v>225000</v>
      </c>
      <c r="H136" s="667">
        <v>0</v>
      </c>
      <c r="I136" s="665">
        <v>0</v>
      </c>
      <c r="J136" s="665">
        <f t="shared" si="120"/>
        <v>225000</v>
      </c>
      <c r="K136" s="680"/>
    </row>
    <row r="137" spans="1:11">
      <c r="A137" s="757"/>
      <c r="B137" s="821"/>
      <c r="C137" s="822"/>
      <c r="D137" s="721"/>
      <c r="E137" s="823"/>
      <c r="F137" s="824"/>
      <c r="G137" s="825"/>
      <c r="H137" s="826"/>
      <c r="I137" s="792"/>
      <c r="J137" s="825"/>
      <c r="K137" s="765"/>
    </row>
    <row r="138" spans="1:11">
      <c r="A138" s="646"/>
      <c r="B138" s="647" t="s">
        <v>5</v>
      </c>
      <c r="C138" s="708"/>
      <c r="D138" s="727"/>
      <c r="E138" s="728"/>
      <c r="F138" s="729"/>
      <c r="G138" s="729">
        <f>SUM(G130:G136)</f>
        <v>1778000</v>
      </c>
      <c r="H138" s="731"/>
      <c r="I138" s="729">
        <f>SUM(I130:I136)</f>
        <v>248500</v>
      </c>
      <c r="J138" s="729">
        <f>SUM(J130:J136)</f>
        <v>2026500</v>
      </c>
      <c r="K138" s="732"/>
    </row>
    <row r="139" spans="1:11">
      <c r="A139" s="701">
        <v>2.5</v>
      </c>
      <c r="B139" s="827" t="s">
        <v>3</v>
      </c>
      <c r="C139" s="684"/>
      <c r="D139" s="665"/>
      <c r="E139" s="685"/>
      <c r="F139" s="665"/>
      <c r="G139" s="665">
        <f t="shared" ref="G139:G148" si="127">D139*F139</f>
        <v>0</v>
      </c>
      <c r="H139" s="716"/>
      <c r="I139" s="665">
        <f t="shared" ref="I139:I148" si="128">SUM(D139*H139)</f>
        <v>0</v>
      </c>
      <c r="J139" s="665">
        <f t="shared" ref="J139:J148" si="129">I139+G139</f>
        <v>0</v>
      </c>
      <c r="K139" s="828"/>
    </row>
    <row r="140" spans="1:11">
      <c r="A140" s="660" t="s">
        <v>148</v>
      </c>
      <c r="B140" s="741" t="s">
        <v>185</v>
      </c>
      <c r="C140" s="684"/>
      <c r="D140" s="884">
        <v>24</v>
      </c>
      <c r="E140" s="685" t="s">
        <v>17</v>
      </c>
      <c r="F140" s="687">
        <v>5500</v>
      </c>
      <c r="G140" s="665">
        <f t="shared" si="127"/>
        <v>132000</v>
      </c>
      <c r="H140" s="716">
        <v>450</v>
      </c>
      <c r="I140" s="665">
        <f t="shared" si="128"/>
        <v>10800</v>
      </c>
      <c r="J140" s="665">
        <f t="shared" si="129"/>
        <v>142800</v>
      </c>
      <c r="K140" s="680"/>
    </row>
    <row r="141" spans="1:11">
      <c r="A141" s="660" t="s">
        <v>149</v>
      </c>
      <c r="B141" s="741" t="s">
        <v>126</v>
      </c>
      <c r="C141" s="684"/>
      <c r="D141" s="884">
        <v>8</v>
      </c>
      <c r="E141" s="685" t="s">
        <v>17</v>
      </c>
      <c r="F141" s="687">
        <v>4500</v>
      </c>
      <c r="G141" s="665">
        <f t="shared" si="127"/>
        <v>36000</v>
      </c>
      <c r="H141" s="667">
        <v>450</v>
      </c>
      <c r="I141" s="665">
        <f t="shared" si="128"/>
        <v>3600</v>
      </c>
      <c r="J141" s="665">
        <f t="shared" si="129"/>
        <v>39600</v>
      </c>
      <c r="K141" s="680"/>
    </row>
    <row r="142" spans="1:11">
      <c r="A142" s="660" t="s">
        <v>150</v>
      </c>
      <c r="B142" s="741" t="s">
        <v>184</v>
      </c>
      <c r="C142" s="684"/>
      <c r="D142" s="884">
        <v>0</v>
      </c>
      <c r="E142" s="685" t="s">
        <v>17</v>
      </c>
      <c r="F142" s="687">
        <v>4000</v>
      </c>
      <c r="G142" s="665">
        <f t="shared" ref="G142" si="130">D142*F142</f>
        <v>0</v>
      </c>
      <c r="H142" s="667">
        <v>450</v>
      </c>
      <c r="I142" s="665">
        <f t="shared" ref="I142" si="131">SUM(D142*H142)</f>
        <v>0</v>
      </c>
      <c r="J142" s="665">
        <f t="shared" ref="J142" si="132">I142+G142</f>
        <v>0</v>
      </c>
      <c r="K142" s="680"/>
    </row>
    <row r="143" spans="1:11">
      <c r="A143" s="660" t="s">
        <v>151</v>
      </c>
      <c r="B143" s="741" t="s">
        <v>71</v>
      </c>
      <c r="C143" s="684"/>
      <c r="D143" s="884">
        <v>56</v>
      </c>
      <c r="E143" s="685" t="s">
        <v>17</v>
      </c>
      <c r="F143" s="687">
        <v>260</v>
      </c>
      <c r="G143" s="665">
        <f t="shared" si="127"/>
        <v>14560</v>
      </c>
      <c r="H143" s="667">
        <v>35</v>
      </c>
      <c r="I143" s="665">
        <f t="shared" si="128"/>
        <v>1960</v>
      </c>
      <c r="J143" s="665">
        <f t="shared" si="129"/>
        <v>16520</v>
      </c>
      <c r="K143" s="680"/>
    </row>
    <row r="144" spans="1:11">
      <c r="A144" s="660" t="s">
        <v>152</v>
      </c>
      <c r="B144" s="741" t="s">
        <v>72</v>
      </c>
      <c r="C144" s="684"/>
      <c r="D144" s="884">
        <v>24</v>
      </c>
      <c r="E144" s="685" t="s">
        <v>17</v>
      </c>
      <c r="F144" s="687">
        <v>675</v>
      </c>
      <c r="G144" s="665">
        <f t="shared" si="127"/>
        <v>16200</v>
      </c>
      <c r="H144" s="667">
        <v>35</v>
      </c>
      <c r="I144" s="665">
        <f t="shared" si="128"/>
        <v>840</v>
      </c>
      <c r="J144" s="665">
        <f t="shared" si="129"/>
        <v>17040</v>
      </c>
      <c r="K144" s="680"/>
    </row>
    <row r="145" spans="1:11">
      <c r="A145" s="660" t="s">
        <v>153</v>
      </c>
      <c r="B145" s="741" t="s">
        <v>73</v>
      </c>
      <c r="C145" s="684"/>
      <c r="D145" s="884">
        <v>24</v>
      </c>
      <c r="E145" s="685" t="s">
        <v>17</v>
      </c>
      <c r="F145" s="687">
        <v>350</v>
      </c>
      <c r="G145" s="665">
        <f t="shared" si="127"/>
        <v>8400</v>
      </c>
      <c r="H145" s="667">
        <v>120</v>
      </c>
      <c r="I145" s="665">
        <f t="shared" si="128"/>
        <v>2880</v>
      </c>
      <c r="J145" s="665">
        <f t="shared" si="129"/>
        <v>11280</v>
      </c>
      <c r="K145" s="680"/>
    </row>
    <row r="146" spans="1:11">
      <c r="A146" s="660" t="s">
        <v>154</v>
      </c>
      <c r="B146" s="741" t="s">
        <v>133</v>
      </c>
      <c r="C146" s="684"/>
      <c r="D146" s="884">
        <v>8</v>
      </c>
      <c r="E146" s="685" t="s">
        <v>17</v>
      </c>
      <c r="F146" s="687">
        <v>2500</v>
      </c>
      <c r="G146" s="665">
        <f t="shared" si="127"/>
        <v>20000</v>
      </c>
      <c r="H146" s="667">
        <v>150</v>
      </c>
      <c r="I146" s="665">
        <f t="shared" si="128"/>
        <v>1200</v>
      </c>
      <c r="J146" s="665">
        <f t="shared" si="129"/>
        <v>21200</v>
      </c>
      <c r="K146" s="680"/>
    </row>
    <row r="147" spans="1:11">
      <c r="A147" s="660" t="s">
        <v>155</v>
      </c>
      <c r="B147" s="741" t="s">
        <v>74</v>
      </c>
      <c r="C147" s="684"/>
      <c r="D147" s="884">
        <v>8</v>
      </c>
      <c r="E147" s="685" t="s">
        <v>17</v>
      </c>
      <c r="F147" s="687">
        <v>350</v>
      </c>
      <c r="G147" s="665">
        <f t="shared" si="127"/>
        <v>2800</v>
      </c>
      <c r="H147" s="667">
        <v>25</v>
      </c>
      <c r="I147" s="665">
        <f t="shared" si="128"/>
        <v>200</v>
      </c>
      <c r="J147" s="665">
        <f t="shared" si="129"/>
        <v>3000</v>
      </c>
      <c r="K147" s="680"/>
    </row>
    <row r="148" spans="1:11">
      <c r="A148" s="660" t="s">
        <v>156</v>
      </c>
      <c r="B148" s="741" t="s">
        <v>258</v>
      </c>
      <c r="C148" s="831"/>
      <c r="D148" s="885">
        <v>32</v>
      </c>
      <c r="E148" s="685" t="s">
        <v>17</v>
      </c>
      <c r="F148" s="665">
        <v>680</v>
      </c>
      <c r="G148" s="665">
        <f t="shared" si="127"/>
        <v>21760</v>
      </c>
      <c r="H148" s="886">
        <v>75</v>
      </c>
      <c r="I148" s="665">
        <f t="shared" si="128"/>
        <v>2400</v>
      </c>
      <c r="J148" s="665">
        <f t="shared" si="129"/>
        <v>24160</v>
      </c>
      <c r="K148" s="680"/>
    </row>
    <row r="149" spans="1:11">
      <c r="A149" s="660" t="s">
        <v>157</v>
      </c>
      <c r="B149" s="741" t="s">
        <v>132</v>
      </c>
      <c r="C149" s="834"/>
      <c r="D149" s="885">
        <v>8</v>
      </c>
      <c r="E149" s="685" t="s">
        <v>17</v>
      </c>
      <c r="F149" s="665">
        <v>5000</v>
      </c>
      <c r="G149" s="665">
        <f t="shared" ref="G149" si="133">D149*F149</f>
        <v>40000</v>
      </c>
      <c r="H149" s="886">
        <v>1500</v>
      </c>
      <c r="I149" s="665">
        <f t="shared" ref="I149" si="134">SUM(D149*H149)</f>
        <v>12000</v>
      </c>
      <c r="J149" s="665">
        <f t="shared" ref="J149" si="135">I149+G149</f>
        <v>52000</v>
      </c>
      <c r="K149" s="680"/>
    </row>
    <row r="150" spans="1:11">
      <c r="A150" s="660" t="s">
        <v>256</v>
      </c>
      <c r="B150" s="741" t="s">
        <v>257</v>
      </c>
      <c r="C150" s="834"/>
      <c r="D150" s="885">
        <v>24</v>
      </c>
      <c r="E150" s="685" t="s">
        <v>17</v>
      </c>
      <c r="F150" s="665">
        <v>35000</v>
      </c>
      <c r="G150" s="665">
        <f t="shared" ref="G150" si="136">D150*F150</f>
        <v>840000</v>
      </c>
      <c r="H150" s="886">
        <v>0</v>
      </c>
      <c r="I150" s="665">
        <f t="shared" ref="I150" si="137">SUM(D150*H150)</f>
        <v>0</v>
      </c>
      <c r="J150" s="665">
        <f t="shared" ref="J150" si="138">I150+G150</f>
        <v>840000</v>
      </c>
      <c r="K150" s="680"/>
    </row>
    <row r="151" spans="1:11">
      <c r="A151" s="718"/>
      <c r="B151" s="835"/>
      <c r="C151" s="834"/>
      <c r="D151" s="836"/>
      <c r="E151" s="823"/>
      <c r="F151" s="824"/>
      <c r="G151" s="825"/>
      <c r="H151" s="826"/>
      <c r="I151" s="825"/>
      <c r="J151" s="825"/>
      <c r="K151" s="837"/>
    </row>
    <row r="152" spans="1:11">
      <c r="A152" s="755"/>
      <c r="B152" s="647" t="s">
        <v>6</v>
      </c>
      <c r="C152" s="795"/>
      <c r="D152" s="783"/>
      <c r="E152" s="797"/>
      <c r="F152" s="801"/>
      <c r="G152" s="731">
        <f>SUM(G140:G150)</f>
        <v>1131720</v>
      </c>
      <c r="H152" s="731"/>
      <c r="I152" s="731">
        <f>SUM(I140:I150)</f>
        <v>35880</v>
      </c>
      <c r="J152" s="731">
        <f>SUM(J140:J150)</f>
        <v>1167600</v>
      </c>
      <c r="K152" s="802"/>
    </row>
    <row r="153" spans="1:11">
      <c r="A153" s="674">
        <v>2.6</v>
      </c>
      <c r="B153" s="737" t="s">
        <v>75</v>
      </c>
      <c r="C153" s="838"/>
      <c r="D153" s="839"/>
      <c r="E153" s="840"/>
      <c r="F153" s="841"/>
      <c r="G153" s="842"/>
      <c r="H153" s="843"/>
      <c r="I153" s="842"/>
      <c r="J153" s="841"/>
      <c r="K153" s="844"/>
    </row>
    <row r="154" spans="1:11">
      <c r="A154" s="674" t="s">
        <v>158</v>
      </c>
      <c r="B154" s="845" t="s">
        <v>76</v>
      </c>
      <c r="C154" s="715"/>
      <c r="D154" s="678">
        <v>3</v>
      </c>
      <c r="E154" s="711" t="s">
        <v>17</v>
      </c>
      <c r="F154" s="814">
        <v>15400</v>
      </c>
      <c r="G154" s="665">
        <f t="shared" ref="G154:G172" si="139">D154*F154</f>
        <v>46200</v>
      </c>
      <c r="H154" s="679">
        <v>1500</v>
      </c>
      <c r="I154" s="665">
        <f t="shared" ref="I154:I172" si="140">SUM(D154*H154)</f>
        <v>4500</v>
      </c>
      <c r="J154" s="665">
        <f t="shared" ref="J154:J172" si="141">I154+G154</f>
        <v>50700</v>
      </c>
      <c r="K154" s="680"/>
    </row>
    <row r="155" spans="1:11">
      <c r="A155" s="660" t="s">
        <v>159</v>
      </c>
      <c r="B155" s="845" t="s">
        <v>77</v>
      </c>
      <c r="C155" s="684"/>
      <c r="D155" s="665">
        <v>4</v>
      </c>
      <c r="E155" s="685" t="s">
        <v>17</v>
      </c>
      <c r="F155" s="687">
        <v>13860</v>
      </c>
      <c r="G155" s="665">
        <f t="shared" si="139"/>
        <v>55440</v>
      </c>
      <c r="H155" s="667">
        <v>1500</v>
      </c>
      <c r="I155" s="665">
        <f t="shared" si="140"/>
        <v>6000</v>
      </c>
      <c r="J155" s="665">
        <f t="shared" si="141"/>
        <v>61440</v>
      </c>
      <c r="K155" s="680"/>
    </row>
    <row r="156" spans="1:11">
      <c r="A156" s="674" t="s">
        <v>160</v>
      </c>
      <c r="B156" s="845" t="s">
        <v>78</v>
      </c>
      <c r="C156" s="684"/>
      <c r="D156" s="665">
        <v>7</v>
      </c>
      <c r="E156" s="685" t="s">
        <v>17</v>
      </c>
      <c r="F156" s="687">
        <v>14400</v>
      </c>
      <c r="G156" s="665">
        <f t="shared" si="139"/>
        <v>100800</v>
      </c>
      <c r="H156" s="667">
        <v>1500</v>
      </c>
      <c r="I156" s="665">
        <f t="shared" si="140"/>
        <v>10500</v>
      </c>
      <c r="J156" s="665">
        <f t="shared" si="141"/>
        <v>111300</v>
      </c>
      <c r="K156" s="680"/>
    </row>
    <row r="157" spans="1:11">
      <c r="A157" s="660" t="s">
        <v>161</v>
      </c>
      <c r="B157" s="845" t="s">
        <v>79</v>
      </c>
      <c r="C157" s="684"/>
      <c r="D157" s="665">
        <v>1</v>
      </c>
      <c r="E157" s="685" t="s">
        <v>17</v>
      </c>
      <c r="F157" s="687">
        <v>10450</v>
      </c>
      <c r="G157" s="665">
        <f t="shared" si="139"/>
        <v>10450</v>
      </c>
      <c r="H157" s="667">
        <v>1000</v>
      </c>
      <c r="I157" s="665">
        <f t="shared" si="140"/>
        <v>1000</v>
      </c>
      <c r="J157" s="665">
        <f t="shared" si="141"/>
        <v>11450</v>
      </c>
      <c r="K157" s="680"/>
    </row>
    <row r="158" spans="1:11">
      <c r="A158" s="674" t="s">
        <v>162</v>
      </c>
      <c r="B158" s="845" t="s">
        <v>80</v>
      </c>
      <c r="C158" s="684"/>
      <c r="D158" s="665">
        <v>8</v>
      </c>
      <c r="E158" s="685" t="s">
        <v>17</v>
      </c>
      <c r="F158" s="687">
        <v>8000</v>
      </c>
      <c r="G158" s="665">
        <f t="shared" ref="G158:G160" si="142">D158*F158</f>
        <v>64000</v>
      </c>
      <c r="H158" s="667">
        <v>800</v>
      </c>
      <c r="I158" s="665">
        <f t="shared" ref="I158:I160" si="143">SUM(D158*H158)</f>
        <v>6400</v>
      </c>
      <c r="J158" s="665">
        <f t="shared" ref="J158:J160" si="144">I158+G158</f>
        <v>70400</v>
      </c>
      <c r="K158" s="680"/>
    </row>
    <row r="159" spans="1:11">
      <c r="A159" s="660" t="s">
        <v>163</v>
      </c>
      <c r="B159" s="845" t="s">
        <v>81</v>
      </c>
      <c r="C159" s="684"/>
      <c r="D159" s="665">
        <v>8</v>
      </c>
      <c r="E159" s="685" t="s">
        <v>17</v>
      </c>
      <c r="F159" s="687">
        <v>7500</v>
      </c>
      <c r="G159" s="665">
        <f t="shared" si="142"/>
        <v>60000</v>
      </c>
      <c r="H159" s="667">
        <v>500</v>
      </c>
      <c r="I159" s="665">
        <f t="shared" si="143"/>
        <v>4000</v>
      </c>
      <c r="J159" s="665">
        <f t="shared" si="144"/>
        <v>64000</v>
      </c>
      <c r="K159" s="680"/>
    </row>
    <row r="160" spans="1:11">
      <c r="A160" s="674" t="s">
        <v>204</v>
      </c>
      <c r="B160" s="845" t="s">
        <v>82</v>
      </c>
      <c r="C160" s="684"/>
      <c r="D160" s="665">
        <v>2</v>
      </c>
      <c r="E160" s="685" t="s">
        <v>17</v>
      </c>
      <c r="F160" s="687">
        <v>9000</v>
      </c>
      <c r="G160" s="665">
        <f t="shared" si="142"/>
        <v>18000</v>
      </c>
      <c r="H160" s="667">
        <v>500</v>
      </c>
      <c r="I160" s="665">
        <f t="shared" si="143"/>
        <v>1000</v>
      </c>
      <c r="J160" s="665">
        <f t="shared" si="144"/>
        <v>19000</v>
      </c>
      <c r="K160" s="680"/>
    </row>
    <row r="161" spans="1:11">
      <c r="A161" s="660" t="s">
        <v>205</v>
      </c>
      <c r="B161" s="845" t="s">
        <v>83</v>
      </c>
      <c r="C161" s="684"/>
      <c r="D161" s="665">
        <v>2</v>
      </c>
      <c r="E161" s="685" t="s">
        <v>17</v>
      </c>
      <c r="F161" s="687">
        <v>5000</v>
      </c>
      <c r="G161" s="665">
        <f t="shared" ref="G161:G168" si="145">D161*F161</f>
        <v>10000</v>
      </c>
      <c r="H161" s="667">
        <v>1000</v>
      </c>
      <c r="I161" s="665">
        <f t="shared" ref="I161:I168" si="146">SUM(D161*H161)</f>
        <v>2000</v>
      </c>
      <c r="J161" s="665">
        <f t="shared" ref="J161:J168" si="147">I161+G161</f>
        <v>12000</v>
      </c>
      <c r="K161" s="680"/>
    </row>
    <row r="162" spans="1:11">
      <c r="A162" s="674" t="s">
        <v>259</v>
      </c>
      <c r="B162" s="845" t="s">
        <v>84</v>
      </c>
      <c r="C162" s="715"/>
      <c r="D162" s="678">
        <v>2</v>
      </c>
      <c r="E162" s="711" t="s">
        <v>17</v>
      </c>
      <c r="F162" s="814">
        <v>19360</v>
      </c>
      <c r="G162" s="665">
        <f t="shared" si="145"/>
        <v>38720</v>
      </c>
      <c r="H162" s="679">
        <v>1500</v>
      </c>
      <c r="I162" s="665">
        <f t="shared" si="146"/>
        <v>3000</v>
      </c>
      <c r="J162" s="665">
        <f t="shared" si="147"/>
        <v>41720</v>
      </c>
      <c r="K162" s="680"/>
    </row>
    <row r="163" spans="1:11">
      <c r="A163" s="660" t="s">
        <v>260</v>
      </c>
      <c r="B163" s="845" t="s">
        <v>85</v>
      </c>
      <c r="C163" s="684"/>
      <c r="D163" s="665">
        <v>5</v>
      </c>
      <c r="E163" s="685" t="s">
        <v>17</v>
      </c>
      <c r="F163" s="687">
        <v>8000</v>
      </c>
      <c r="G163" s="665">
        <f t="shared" si="145"/>
        <v>40000</v>
      </c>
      <c r="H163" s="667">
        <v>800</v>
      </c>
      <c r="I163" s="665">
        <f t="shared" si="146"/>
        <v>4000</v>
      </c>
      <c r="J163" s="665">
        <f t="shared" si="147"/>
        <v>44000</v>
      </c>
      <c r="K163" s="680"/>
    </row>
    <row r="164" spans="1:11">
      <c r="A164" s="674" t="s">
        <v>261</v>
      </c>
      <c r="B164" s="845" t="s">
        <v>292</v>
      </c>
      <c r="C164" s="684"/>
      <c r="D164" s="665">
        <v>7</v>
      </c>
      <c r="E164" s="685" t="s">
        <v>17</v>
      </c>
      <c r="F164" s="687">
        <v>19800</v>
      </c>
      <c r="G164" s="665">
        <f t="shared" si="145"/>
        <v>138600</v>
      </c>
      <c r="H164" s="667">
        <v>1500</v>
      </c>
      <c r="I164" s="665">
        <f t="shared" si="146"/>
        <v>10500</v>
      </c>
      <c r="J164" s="665">
        <f t="shared" si="147"/>
        <v>149100</v>
      </c>
      <c r="K164" s="680"/>
    </row>
    <row r="165" spans="1:11">
      <c r="A165" s="660" t="s">
        <v>262</v>
      </c>
      <c r="B165" s="845" t="s">
        <v>293</v>
      </c>
      <c r="C165" s="684"/>
      <c r="D165" s="665">
        <v>6</v>
      </c>
      <c r="E165" s="685" t="s">
        <v>17</v>
      </c>
      <c r="F165" s="687">
        <v>19800</v>
      </c>
      <c r="G165" s="665">
        <f t="shared" si="145"/>
        <v>118800</v>
      </c>
      <c r="H165" s="667">
        <v>1500</v>
      </c>
      <c r="I165" s="665">
        <f t="shared" si="146"/>
        <v>9000</v>
      </c>
      <c r="J165" s="665">
        <f t="shared" si="147"/>
        <v>127800</v>
      </c>
      <c r="K165" s="680"/>
    </row>
    <row r="166" spans="1:11">
      <c r="A166" s="674" t="s">
        <v>263</v>
      </c>
      <c r="B166" s="845" t="s">
        <v>294</v>
      </c>
      <c r="C166" s="684"/>
      <c r="D166" s="665">
        <v>1</v>
      </c>
      <c r="E166" s="685" t="s">
        <v>17</v>
      </c>
      <c r="F166" s="687">
        <v>14630</v>
      </c>
      <c r="G166" s="665">
        <f t="shared" si="145"/>
        <v>14630</v>
      </c>
      <c r="H166" s="667">
        <v>800</v>
      </c>
      <c r="I166" s="665">
        <f t="shared" si="146"/>
        <v>800</v>
      </c>
      <c r="J166" s="665">
        <f t="shared" si="147"/>
        <v>15430</v>
      </c>
      <c r="K166" s="680"/>
    </row>
    <row r="167" spans="1:11">
      <c r="A167" s="660" t="s">
        <v>264</v>
      </c>
      <c r="B167" s="845" t="s">
        <v>295</v>
      </c>
      <c r="C167" s="684"/>
      <c r="D167" s="665">
        <v>1</v>
      </c>
      <c r="E167" s="685" t="s">
        <v>17</v>
      </c>
      <c r="F167" s="687">
        <v>7700</v>
      </c>
      <c r="G167" s="665">
        <f t="shared" si="145"/>
        <v>7700</v>
      </c>
      <c r="H167" s="667">
        <v>500</v>
      </c>
      <c r="I167" s="665">
        <f t="shared" si="146"/>
        <v>500</v>
      </c>
      <c r="J167" s="665">
        <f t="shared" si="147"/>
        <v>8200</v>
      </c>
      <c r="K167" s="680"/>
    </row>
    <row r="168" spans="1:11">
      <c r="A168" s="674" t="s">
        <v>265</v>
      </c>
      <c r="B168" s="845" t="s">
        <v>296</v>
      </c>
      <c r="C168" s="684"/>
      <c r="D168" s="665">
        <v>2</v>
      </c>
      <c r="E168" s="685" t="s">
        <v>17</v>
      </c>
      <c r="F168" s="687">
        <v>5000</v>
      </c>
      <c r="G168" s="665">
        <f t="shared" si="145"/>
        <v>10000</v>
      </c>
      <c r="H168" s="667">
        <v>500</v>
      </c>
      <c r="I168" s="665">
        <f t="shared" si="146"/>
        <v>1000</v>
      </c>
      <c r="J168" s="665">
        <f t="shared" si="147"/>
        <v>11000</v>
      </c>
      <c r="K168" s="680"/>
    </row>
    <row r="169" spans="1:11">
      <c r="A169" s="660" t="s">
        <v>298</v>
      </c>
      <c r="B169" s="845" t="s">
        <v>297</v>
      </c>
      <c r="C169" s="684"/>
      <c r="D169" s="665">
        <v>1</v>
      </c>
      <c r="E169" s="685" t="s">
        <v>17</v>
      </c>
      <c r="F169" s="687">
        <v>14960</v>
      </c>
      <c r="G169" s="665">
        <f t="shared" ref="G169" si="148">D169*F169</f>
        <v>14960</v>
      </c>
      <c r="H169" s="667">
        <v>1500</v>
      </c>
      <c r="I169" s="665">
        <f t="shared" ref="I169" si="149">SUM(D169*H169)</f>
        <v>1500</v>
      </c>
      <c r="J169" s="665">
        <f t="shared" ref="J169" si="150">I169+G169</f>
        <v>16460</v>
      </c>
      <c r="K169" s="680"/>
    </row>
    <row r="170" spans="1:11" ht="23.25" customHeight="1">
      <c r="A170" s="674" t="s">
        <v>299</v>
      </c>
      <c r="B170" s="741" t="s">
        <v>86</v>
      </c>
      <c r="C170" s="846"/>
      <c r="D170" s="847">
        <v>104</v>
      </c>
      <c r="E170" s="664" t="s">
        <v>17</v>
      </c>
      <c r="F170" s="665">
        <v>19600</v>
      </c>
      <c r="G170" s="665">
        <f t="shared" si="139"/>
        <v>2038400</v>
      </c>
      <c r="H170" s="667">
        <v>1500</v>
      </c>
      <c r="I170" s="665">
        <f t="shared" si="140"/>
        <v>156000</v>
      </c>
      <c r="J170" s="665">
        <f t="shared" si="141"/>
        <v>2194400</v>
      </c>
      <c r="K170" s="680"/>
    </row>
    <row r="171" spans="1:11">
      <c r="A171" s="660" t="s">
        <v>300</v>
      </c>
      <c r="B171" s="741" t="s">
        <v>87</v>
      </c>
      <c r="C171" s="846"/>
      <c r="D171" s="847">
        <v>3</v>
      </c>
      <c r="E171" s="664" t="s">
        <v>17</v>
      </c>
      <c r="F171" s="665">
        <v>16900</v>
      </c>
      <c r="G171" s="665">
        <f t="shared" ref="G171" si="151">D171*F171</f>
        <v>50700</v>
      </c>
      <c r="H171" s="667">
        <v>1000</v>
      </c>
      <c r="I171" s="665">
        <f t="shared" ref="I171" si="152">SUM(D171*H171)</f>
        <v>3000</v>
      </c>
      <c r="J171" s="665">
        <f t="shared" ref="J171" si="153">I171+G171</f>
        <v>53700</v>
      </c>
      <c r="K171" s="680"/>
    </row>
    <row r="172" spans="1:11">
      <c r="A172" s="674" t="s">
        <v>301</v>
      </c>
      <c r="B172" s="741" t="s">
        <v>88</v>
      </c>
      <c r="C172" s="887"/>
      <c r="D172" s="847">
        <v>7</v>
      </c>
      <c r="E172" s="664" t="s">
        <v>17</v>
      </c>
      <c r="F172" s="665">
        <v>9000</v>
      </c>
      <c r="G172" s="665">
        <f t="shared" si="139"/>
        <v>63000</v>
      </c>
      <c r="H172" s="667">
        <v>1000</v>
      </c>
      <c r="I172" s="665">
        <f t="shared" si="140"/>
        <v>7000</v>
      </c>
      <c r="J172" s="665">
        <f t="shared" si="141"/>
        <v>70000</v>
      </c>
      <c r="K172" s="680"/>
    </row>
    <row r="173" spans="1:11">
      <c r="A173" s="660" t="s">
        <v>302</v>
      </c>
      <c r="B173" s="741" t="s">
        <v>89</v>
      </c>
      <c r="C173" s="846"/>
      <c r="D173" s="847">
        <v>14</v>
      </c>
      <c r="E173" s="664" t="s">
        <v>17</v>
      </c>
      <c r="F173" s="665">
        <v>6000</v>
      </c>
      <c r="G173" s="665">
        <f t="shared" ref="G173:G175" si="154">D173*F173</f>
        <v>84000</v>
      </c>
      <c r="H173" s="667">
        <v>800</v>
      </c>
      <c r="I173" s="665">
        <f t="shared" ref="I173:I175" si="155">SUM(D173*H173)</f>
        <v>11200</v>
      </c>
      <c r="J173" s="665">
        <f t="shared" ref="J173:J175" si="156">I173+G173</f>
        <v>95200</v>
      </c>
      <c r="K173" s="680"/>
    </row>
    <row r="174" spans="1:11">
      <c r="A174" s="674" t="s">
        <v>303</v>
      </c>
      <c r="B174" s="741" t="s">
        <v>90</v>
      </c>
      <c r="C174" s="846"/>
      <c r="D174" s="847">
        <v>80</v>
      </c>
      <c r="E174" s="664" t="s">
        <v>17</v>
      </c>
      <c r="F174" s="665">
        <v>3500</v>
      </c>
      <c r="G174" s="665">
        <f t="shared" si="154"/>
        <v>280000</v>
      </c>
      <c r="H174" s="667">
        <v>500</v>
      </c>
      <c r="I174" s="665">
        <f t="shared" si="155"/>
        <v>40000</v>
      </c>
      <c r="J174" s="665">
        <f t="shared" si="156"/>
        <v>320000</v>
      </c>
      <c r="K174" s="680"/>
    </row>
    <row r="175" spans="1:11">
      <c r="A175" s="660" t="s">
        <v>304</v>
      </c>
      <c r="B175" s="741" t="s">
        <v>91</v>
      </c>
      <c r="C175" s="887"/>
      <c r="D175" s="847">
        <v>2</v>
      </c>
      <c r="E175" s="664" t="s">
        <v>17</v>
      </c>
      <c r="F175" s="665">
        <v>18700</v>
      </c>
      <c r="G175" s="665">
        <f t="shared" si="154"/>
        <v>37400</v>
      </c>
      <c r="H175" s="667">
        <v>1500</v>
      </c>
      <c r="I175" s="665">
        <f t="shared" si="155"/>
        <v>3000</v>
      </c>
      <c r="J175" s="665">
        <f t="shared" si="156"/>
        <v>40400</v>
      </c>
      <c r="K175" s="680"/>
    </row>
    <row r="176" spans="1:11">
      <c r="A176" s="674" t="s">
        <v>305</v>
      </c>
      <c r="B176" s="741" t="s">
        <v>92</v>
      </c>
      <c r="C176" s="887"/>
      <c r="D176" s="847">
        <v>8</v>
      </c>
      <c r="E176" s="664" t="s">
        <v>17</v>
      </c>
      <c r="F176" s="665">
        <v>27720</v>
      </c>
      <c r="G176" s="665">
        <f t="shared" ref="G176" si="157">D176*F176</f>
        <v>221760</v>
      </c>
      <c r="H176" s="667">
        <v>2000</v>
      </c>
      <c r="I176" s="665">
        <f t="shared" ref="I176" si="158">SUM(D176*H176)</f>
        <v>16000</v>
      </c>
      <c r="J176" s="665">
        <f t="shared" ref="J176" si="159">I176+G176</f>
        <v>237760</v>
      </c>
      <c r="K176" s="680"/>
    </row>
    <row r="177" spans="1:11">
      <c r="A177" s="660" t="s">
        <v>306</v>
      </c>
      <c r="B177" s="741" t="s">
        <v>93</v>
      </c>
      <c r="C177" s="887"/>
      <c r="D177" s="847">
        <v>1</v>
      </c>
      <c r="E177" s="664" t="s">
        <v>17</v>
      </c>
      <c r="F177" s="665">
        <v>3500</v>
      </c>
      <c r="G177" s="665">
        <f t="shared" ref="G177" si="160">D177*F177</f>
        <v>3500</v>
      </c>
      <c r="H177" s="667">
        <v>500</v>
      </c>
      <c r="I177" s="665">
        <f t="shared" ref="I177" si="161">SUM(D177*H177)</f>
        <v>500</v>
      </c>
      <c r="J177" s="665">
        <f t="shared" ref="J177" si="162">I177+G177</f>
        <v>4000</v>
      </c>
      <c r="K177" s="680"/>
    </row>
    <row r="178" spans="1:11">
      <c r="A178" s="692"/>
      <c r="B178" s="848"/>
      <c r="C178" s="849"/>
      <c r="D178" s="724"/>
      <c r="E178" s="692"/>
      <c r="F178" s="792"/>
      <c r="G178" s="665"/>
      <c r="H178" s="850"/>
      <c r="I178" s="665"/>
      <c r="J178" s="665"/>
      <c r="K178" s="851"/>
    </row>
    <row r="179" spans="1:11">
      <c r="A179" s="646"/>
      <c r="B179" s="647" t="s">
        <v>94</v>
      </c>
      <c r="C179" s="852">
        <v>158.38</v>
      </c>
      <c r="D179" s="783"/>
      <c r="E179" s="755"/>
      <c r="F179" s="736"/>
      <c r="G179" s="853">
        <f>SUM(G154:G177)</f>
        <v>3527060</v>
      </c>
      <c r="H179" s="853"/>
      <c r="I179" s="853">
        <f t="shared" ref="I179:J179" si="163">SUM(I154:I177)</f>
        <v>302400</v>
      </c>
      <c r="J179" s="853">
        <f t="shared" si="163"/>
        <v>3829460</v>
      </c>
      <c r="K179" s="854"/>
    </row>
    <row r="180" spans="1:11">
      <c r="A180" s="706">
        <v>2.7</v>
      </c>
      <c r="B180" s="737" t="s">
        <v>95</v>
      </c>
      <c r="C180" s="855">
        <v>126.28</v>
      </c>
      <c r="D180" s="679"/>
      <c r="E180" s="674"/>
      <c r="F180" s="678"/>
      <c r="G180" s="856"/>
      <c r="H180" s="857"/>
      <c r="I180" s="856"/>
      <c r="J180" s="856"/>
      <c r="K180" s="753"/>
    </row>
    <row r="181" spans="1:11">
      <c r="A181" s="660" t="s">
        <v>164</v>
      </c>
      <c r="B181" s="741" t="s">
        <v>124</v>
      </c>
      <c r="C181" s="858">
        <v>246.66</v>
      </c>
      <c r="D181" s="667">
        <v>4450</v>
      </c>
      <c r="E181" s="660" t="s">
        <v>16</v>
      </c>
      <c r="F181" s="665">
        <v>85</v>
      </c>
      <c r="G181" s="665">
        <f t="shared" ref="G181" si="164">D181*F181</f>
        <v>378250</v>
      </c>
      <c r="H181" s="859">
        <v>50</v>
      </c>
      <c r="I181" s="665">
        <f t="shared" ref="I181" si="165">SUM(D181*H181)</f>
        <v>222500</v>
      </c>
      <c r="J181" s="665">
        <f>I181+G181</f>
        <v>600750</v>
      </c>
      <c r="K181" s="680"/>
    </row>
    <row r="182" spans="1:11">
      <c r="A182" s="660" t="s">
        <v>165</v>
      </c>
      <c r="B182" s="741" t="s">
        <v>125</v>
      </c>
      <c r="C182" s="858">
        <v>246.66</v>
      </c>
      <c r="D182" s="667">
        <v>2950</v>
      </c>
      <c r="E182" s="660" t="s">
        <v>16</v>
      </c>
      <c r="F182" s="665">
        <v>85</v>
      </c>
      <c r="G182" s="665">
        <f t="shared" ref="G182" si="166">D182*F182</f>
        <v>250750</v>
      </c>
      <c r="H182" s="859">
        <v>35</v>
      </c>
      <c r="I182" s="665">
        <f t="shared" ref="I182" si="167">SUM(D182*H182)</f>
        <v>103250</v>
      </c>
      <c r="J182" s="665">
        <f>I182+G182</f>
        <v>354000</v>
      </c>
      <c r="K182" s="680"/>
    </row>
    <row r="183" spans="1:11">
      <c r="A183" s="660" t="s">
        <v>166</v>
      </c>
      <c r="B183" s="741" t="s">
        <v>129</v>
      </c>
      <c r="C183" s="858">
        <v>246.66</v>
      </c>
      <c r="D183" s="667">
        <v>1300</v>
      </c>
      <c r="E183" s="660" t="s">
        <v>16</v>
      </c>
      <c r="F183" s="665">
        <v>85</v>
      </c>
      <c r="G183" s="665">
        <f t="shared" ref="G183" si="168">D183*F183</f>
        <v>110500</v>
      </c>
      <c r="H183" s="859">
        <v>50</v>
      </c>
      <c r="I183" s="665">
        <f t="shared" ref="I183" si="169">SUM(D183*H183)</f>
        <v>65000</v>
      </c>
      <c r="J183" s="665">
        <f>I183+G183</f>
        <v>175500</v>
      </c>
      <c r="K183" s="680"/>
    </row>
    <row r="184" spans="1:11">
      <c r="A184" s="660" t="s">
        <v>167</v>
      </c>
      <c r="B184" s="741" t="s">
        <v>130</v>
      </c>
      <c r="C184" s="858"/>
      <c r="D184" s="667">
        <v>2400</v>
      </c>
      <c r="E184" s="660" t="s">
        <v>16</v>
      </c>
      <c r="F184" s="665">
        <v>85</v>
      </c>
      <c r="G184" s="665">
        <f t="shared" ref="G184" si="170">D184*F184</f>
        <v>204000</v>
      </c>
      <c r="H184" s="859">
        <v>35</v>
      </c>
      <c r="I184" s="665">
        <f t="shared" ref="I184" si="171">SUM(D184*H184)</f>
        <v>84000</v>
      </c>
      <c r="J184" s="665">
        <f>I184+G184</f>
        <v>288000</v>
      </c>
      <c r="K184" s="680"/>
    </row>
    <row r="185" spans="1:11">
      <c r="A185" s="692"/>
      <c r="B185" s="848"/>
      <c r="C185" s="849">
        <v>246.66</v>
      </c>
      <c r="D185" s="724"/>
      <c r="E185" s="692"/>
      <c r="F185" s="792"/>
      <c r="G185" s="860"/>
      <c r="H185" s="850"/>
      <c r="I185" s="860"/>
      <c r="J185" s="860"/>
      <c r="K185" s="851"/>
    </row>
    <row r="186" spans="1:11">
      <c r="A186" s="646"/>
      <c r="B186" s="647" t="s">
        <v>96</v>
      </c>
      <c r="C186" s="795"/>
      <c r="D186" s="861"/>
      <c r="E186" s="755"/>
      <c r="F186" s="736"/>
      <c r="G186" s="853">
        <f>SUM(G181:G185)</f>
        <v>943500</v>
      </c>
      <c r="H186" s="862"/>
      <c r="I186" s="853">
        <f>SUM(I181:I185)</f>
        <v>474750</v>
      </c>
      <c r="J186" s="853">
        <f>SUM(J181:J185)</f>
        <v>1418250</v>
      </c>
      <c r="K186" s="854"/>
    </row>
    <row r="187" spans="1:11">
      <c r="A187" s="863">
        <v>2.8</v>
      </c>
      <c r="B187" s="864" t="s">
        <v>30</v>
      </c>
      <c r="C187" s="865"/>
      <c r="D187" s="866"/>
      <c r="E187" s="867"/>
      <c r="F187" s="651"/>
      <c r="G187" s="868"/>
      <c r="H187" s="869"/>
      <c r="I187" s="868"/>
      <c r="J187" s="868"/>
      <c r="K187" s="870"/>
    </row>
    <row r="188" spans="1:11">
      <c r="A188" s="674" t="s">
        <v>168</v>
      </c>
      <c r="B188" s="845" t="s">
        <v>198</v>
      </c>
      <c r="C188" s="838"/>
      <c r="D188" s="679">
        <v>120</v>
      </c>
      <c r="E188" s="674" t="s">
        <v>19</v>
      </c>
      <c r="F188" s="678">
        <v>5500</v>
      </c>
      <c r="G188" s="665">
        <f t="shared" ref="G188" si="172">D188*F188</f>
        <v>660000</v>
      </c>
      <c r="H188" s="871">
        <v>0</v>
      </c>
      <c r="I188" s="665">
        <f t="shared" ref="I188" si="173">SUM(D188*H188)</f>
        <v>0</v>
      </c>
      <c r="J188" s="665">
        <f>I188+G188</f>
        <v>660000</v>
      </c>
      <c r="K188" s="680"/>
    </row>
    <row r="189" spans="1:11">
      <c r="A189" s="674" t="s">
        <v>169</v>
      </c>
      <c r="B189" s="848" t="s">
        <v>180</v>
      </c>
      <c r="C189" s="888"/>
      <c r="D189" s="724">
        <v>3</v>
      </c>
      <c r="E189" s="692" t="s">
        <v>179</v>
      </c>
      <c r="F189" s="889">
        <v>10000</v>
      </c>
      <c r="G189" s="665">
        <f t="shared" ref="G189" si="174">D189*F189</f>
        <v>30000</v>
      </c>
      <c r="H189" s="850">
        <v>500</v>
      </c>
      <c r="I189" s="665">
        <f t="shared" ref="I189" si="175">SUM(D189*H189)</f>
        <v>1500</v>
      </c>
      <c r="J189" s="665">
        <f t="shared" ref="J189" si="176">I189+G189</f>
        <v>31500</v>
      </c>
      <c r="K189" s="680"/>
    </row>
    <row r="190" spans="1:11">
      <c r="A190" s="674" t="s">
        <v>170</v>
      </c>
      <c r="B190" s="848" t="s">
        <v>186</v>
      </c>
      <c r="C190" s="888"/>
      <c r="D190" s="724">
        <v>1</v>
      </c>
      <c r="E190" s="692" t="s">
        <v>123</v>
      </c>
      <c r="F190" s="665">
        <v>200000</v>
      </c>
      <c r="G190" s="890">
        <f t="shared" ref="G190" si="177">D190*F190</f>
        <v>200000</v>
      </c>
      <c r="H190" s="850">
        <v>0</v>
      </c>
      <c r="I190" s="665">
        <f t="shared" ref="I190" si="178">SUM(D190*H190)</f>
        <v>0</v>
      </c>
      <c r="J190" s="665">
        <f t="shared" ref="J190" si="179">I190+G190</f>
        <v>200000</v>
      </c>
      <c r="K190" s="680"/>
    </row>
    <row r="191" spans="1:11">
      <c r="A191" s="674" t="s">
        <v>171</v>
      </c>
      <c r="B191" s="848" t="s">
        <v>181</v>
      </c>
      <c r="C191" s="888"/>
      <c r="D191" s="667">
        <v>1</v>
      </c>
      <c r="E191" s="692" t="s">
        <v>123</v>
      </c>
      <c r="F191" s="889">
        <v>150000</v>
      </c>
      <c r="G191" s="665">
        <f t="shared" ref="G191:G199" si="180">D191*F191</f>
        <v>150000</v>
      </c>
      <c r="H191" s="850">
        <v>0</v>
      </c>
      <c r="I191" s="665">
        <f t="shared" ref="I191:I199" si="181">SUM(D191*H191)</f>
        <v>0</v>
      </c>
      <c r="J191" s="665">
        <f t="shared" ref="J191:J199" si="182">I191+G191</f>
        <v>150000</v>
      </c>
      <c r="K191" s="680"/>
    </row>
    <row r="192" spans="1:11" ht="19.5" customHeight="1">
      <c r="A192" s="674" t="s">
        <v>286</v>
      </c>
      <c r="B192" s="816" t="s">
        <v>285</v>
      </c>
      <c r="C192" s="684"/>
      <c r="D192" s="676">
        <v>1</v>
      </c>
      <c r="E192" s="685" t="s">
        <v>67</v>
      </c>
      <c r="F192" s="687">
        <v>350000</v>
      </c>
      <c r="G192" s="665">
        <f t="shared" ref="G192" si="183">D192*F192</f>
        <v>350000</v>
      </c>
      <c r="H192" s="667">
        <v>150000</v>
      </c>
      <c r="I192" s="665">
        <f t="shared" ref="I192" si="184">SUM(D192*H192)</f>
        <v>150000</v>
      </c>
      <c r="J192" s="665">
        <f t="shared" ref="J192" si="185">I192+G192</f>
        <v>500000</v>
      </c>
      <c r="K192" s="680"/>
    </row>
    <row r="193" spans="1:11" ht="19.5" customHeight="1">
      <c r="A193" s="674" t="s">
        <v>287</v>
      </c>
      <c r="B193" s="816" t="s">
        <v>203</v>
      </c>
      <c r="C193" s="684"/>
      <c r="D193" s="676">
        <v>4</v>
      </c>
      <c r="E193" s="685" t="s">
        <v>67</v>
      </c>
      <c r="F193" s="687">
        <v>125000</v>
      </c>
      <c r="G193" s="665">
        <f t="shared" si="180"/>
        <v>500000</v>
      </c>
      <c r="H193" s="667">
        <v>10000</v>
      </c>
      <c r="I193" s="665">
        <f t="shared" si="181"/>
        <v>40000</v>
      </c>
      <c r="J193" s="665">
        <f t="shared" si="182"/>
        <v>540000</v>
      </c>
      <c r="K193" s="680"/>
    </row>
    <row r="194" spans="1:11">
      <c r="A194" s="674" t="s">
        <v>288</v>
      </c>
      <c r="B194" s="816" t="s">
        <v>232</v>
      </c>
      <c r="C194" s="684"/>
      <c r="D194" s="676">
        <v>4</v>
      </c>
      <c r="E194" s="685" t="s">
        <v>67</v>
      </c>
      <c r="F194" s="687">
        <v>95000</v>
      </c>
      <c r="G194" s="665">
        <f t="shared" si="180"/>
        <v>380000</v>
      </c>
      <c r="H194" s="667">
        <v>10000</v>
      </c>
      <c r="I194" s="665">
        <f t="shared" si="181"/>
        <v>40000</v>
      </c>
      <c r="J194" s="665">
        <f t="shared" si="182"/>
        <v>420000</v>
      </c>
      <c r="K194" s="680"/>
    </row>
    <row r="195" spans="1:11">
      <c r="A195" s="674" t="s">
        <v>289</v>
      </c>
      <c r="B195" s="816" t="s">
        <v>233</v>
      </c>
      <c r="C195" s="684"/>
      <c r="D195" s="676">
        <v>90</v>
      </c>
      <c r="E195" s="685" t="s">
        <v>67</v>
      </c>
      <c r="F195" s="687">
        <v>55000</v>
      </c>
      <c r="G195" s="665">
        <f t="shared" si="180"/>
        <v>4950000</v>
      </c>
      <c r="H195" s="667">
        <v>10000</v>
      </c>
      <c r="I195" s="665">
        <f t="shared" si="181"/>
        <v>900000</v>
      </c>
      <c r="J195" s="665">
        <f t="shared" si="182"/>
        <v>5850000</v>
      </c>
      <c r="K195" s="680"/>
    </row>
    <row r="196" spans="1:11">
      <c r="A196" s="674" t="s">
        <v>290</v>
      </c>
      <c r="B196" s="816" t="s">
        <v>236</v>
      </c>
      <c r="C196" s="684"/>
      <c r="D196" s="676">
        <v>200</v>
      </c>
      <c r="E196" s="685" t="s">
        <v>59</v>
      </c>
      <c r="F196" s="687">
        <v>1500</v>
      </c>
      <c r="G196" s="665">
        <f t="shared" si="180"/>
        <v>300000</v>
      </c>
      <c r="H196" s="667">
        <v>500</v>
      </c>
      <c r="I196" s="665">
        <f t="shared" si="181"/>
        <v>100000</v>
      </c>
      <c r="J196" s="665">
        <f t="shared" si="182"/>
        <v>400000</v>
      </c>
      <c r="K196" s="680"/>
    </row>
    <row r="197" spans="1:11">
      <c r="A197" s="674" t="s">
        <v>291</v>
      </c>
      <c r="B197" s="816" t="s">
        <v>237</v>
      </c>
      <c r="C197" s="684"/>
      <c r="D197" s="676">
        <v>94</v>
      </c>
      <c r="E197" s="685" t="s">
        <v>67</v>
      </c>
      <c r="F197" s="687">
        <v>35000</v>
      </c>
      <c r="G197" s="665">
        <f t="shared" si="180"/>
        <v>3290000</v>
      </c>
      <c r="H197" s="667">
        <v>8500</v>
      </c>
      <c r="I197" s="665">
        <f t="shared" si="181"/>
        <v>799000</v>
      </c>
      <c r="J197" s="665">
        <f t="shared" si="182"/>
        <v>4089000</v>
      </c>
      <c r="K197" s="680"/>
    </row>
    <row r="198" spans="1:11" ht="19.5" customHeight="1">
      <c r="A198" s="674" t="s">
        <v>309</v>
      </c>
      <c r="B198" s="816" t="s">
        <v>314</v>
      </c>
      <c r="C198" s="684"/>
      <c r="D198" s="676">
        <v>2</v>
      </c>
      <c r="E198" s="685" t="s">
        <v>67</v>
      </c>
      <c r="F198" s="687">
        <v>21700</v>
      </c>
      <c r="G198" s="665">
        <f t="shared" si="180"/>
        <v>43400</v>
      </c>
      <c r="H198" s="667">
        <v>10000</v>
      </c>
      <c r="I198" s="665">
        <f t="shared" si="181"/>
        <v>20000</v>
      </c>
      <c r="J198" s="665">
        <f t="shared" si="182"/>
        <v>63400</v>
      </c>
      <c r="K198" s="680"/>
    </row>
    <row r="199" spans="1:11">
      <c r="A199" s="674" t="s">
        <v>310</v>
      </c>
      <c r="B199" s="816" t="s">
        <v>313</v>
      </c>
      <c r="C199" s="684"/>
      <c r="D199" s="676">
        <v>1</v>
      </c>
      <c r="E199" s="685" t="s">
        <v>67</v>
      </c>
      <c r="F199" s="687">
        <v>10000</v>
      </c>
      <c r="G199" s="665">
        <f t="shared" si="180"/>
        <v>10000</v>
      </c>
      <c r="H199" s="667">
        <v>5000</v>
      </c>
      <c r="I199" s="665">
        <f t="shared" si="181"/>
        <v>5000</v>
      </c>
      <c r="J199" s="665">
        <f t="shared" si="182"/>
        <v>15000</v>
      </c>
      <c r="K199" s="680"/>
    </row>
    <row r="200" spans="1:11">
      <c r="A200" s="674" t="s">
        <v>311</v>
      </c>
      <c r="B200" s="816" t="s">
        <v>312</v>
      </c>
      <c r="C200" s="684"/>
      <c r="D200" s="676">
        <v>1</v>
      </c>
      <c r="E200" s="685" t="s">
        <v>67</v>
      </c>
      <c r="F200" s="687">
        <v>100000</v>
      </c>
      <c r="G200" s="665">
        <f t="shared" ref="G200" si="186">D200*F200</f>
        <v>100000</v>
      </c>
      <c r="H200" s="667">
        <v>50000</v>
      </c>
      <c r="I200" s="665">
        <f t="shared" ref="I200" si="187">SUM(D200*H200)</f>
        <v>50000</v>
      </c>
      <c r="J200" s="665">
        <f t="shared" ref="J200" si="188">I200+G200</f>
        <v>150000</v>
      </c>
      <c r="K200" s="680"/>
    </row>
    <row r="201" spans="1:11">
      <c r="A201" s="692"/>
      <c r="B201" s="848"/>
      <c r="C201" s="849">
        <v>304.91000000000003</v>
      </c>
      <c r="D201" s="810"/>
      <c r="E201" s="804"/>
      <c r="F201" s="809"/>
      <c r="G201" s="875"/>
      <c r="H201" s="876"/>
      <c r="I201" s="875"/>
      <c r="J201" s="875"/>
      <c r="K201" s="699"/>
    </row>
    <row r="202" spans="1:11">
      <c r="A202" s="755"/>
      <c r="B202" s="647" t="s">
        <v>31</v>
      </c>
      <c r="C202" s="852">
        <v>304.64999999999998</v>
      </c>
      <c r="D202" s="783"/>
      <c r="E202" s="755"/>
      <c r="F202" s="736"/>
      <c r="G202" s="853">
        <f>SUM(G188:G201)</f>
        <v>10963400</v>
      </c>
      <c r="H202" s="862"/>
      <c r="I202" s="853">
        <f>SUM(I188:I201)</f>
        <v>2105500</v>
      </c>
      <c r="J202" s="878">
        <f>SUM(J188:J201)</f>
        <v>13068900</v>
      </c>
      <c r="K202" s="877"/>
    </row>
    <row r="203" spans="1:11">
      <c r="A203" s="755"/>
      <c r="B203" s="647"/>
      <c r="C203" s="852"/>
      <c r="D203" s="783"/>
      <c r="E203" s="755"/>
      <c r="F203" s="736"/>
      <c r="G203" s="891"/>
      <c r="H203" s="892"/>
      <c r="I203" s="891"/>
      <c r="J203" s="893"/>
      <c r="K203" s="877"/>
    </row>
    <row r="204" spans="1:11">
      <c r="A204" s="863">
        <v>2.9</v>
      </c>
      <c r="B204" s="864" t="s">
        <v>206</v>
      </c>
      <c r="C204" s="865"/>
      <c r="D204" s="866"/>
      <c r="E204" s="867"/>
      <c r="F204" s="651"/>
      <c r="G204" s="868"/>
      <c r="H204" s="869"/>
      <c r="I204" s="868"/>
      <c r="J204" s="868"/>
      <c r="K204" s="870"/>
    </row>
    <row r="205" spans="1:11">
      <c r="A205" s="674" t="s">
        <v>208</v>
      </c>
      <c r="B205" s="845" t="s">
        <v>231</v>
      </c>
      <c r="C205" s="838"/>
      <c r="D205" s="894">
        <v>2000</v>
      </c>
      <c r="E205" s="674" t="s">
        <v>16</v>
      </c>
      <c r="F205" s="678">
        <v>100</v>
      </c>
      <c r="G205" s="665">
        <f t="shared" ref="G205:G206" si="189">D205*F205</f>
        <v>200000</v>
      </c>
      <c r="H205" s="871">
        <v>80</v>
      </c>
      <c r="I205" s="665">
        <f t="shared" ref="I205:I206" si="190">SUM(D205*H205)</f>
        <v>160000</v>
      </c>
      <c r="J205" s="665">
        <f>I205+G205</f>
        <v>360000</v>
      </c>
      <c r="K205" s="680"/>
    </row>
    <row r="206" spans="1:11">
      <c r="A206" s="674" t="s">
        <v>209</v>
      </c>
      <c r="B206" s="845" t="s">
        <v>207</v>
      </c>
      <c r="C206" s="715"/>
      <c r="D206" s="894">
        <v>2000</v>
      </c>
      <c r="E206" s="674" t="s">
        <v>16</v>
      </c>
      <c r="F206" s="678">
        <v>65</v>
      </c>
      <c r="G206" s="665">
        <f t="shared" si="189"/>
        <v>130000</v>
      </c>
      <c r="H206" s="857">
        <v>50</v>
      </c>
      <c r="I206" s="665">
        <f t="shared" si="190"/>
        <v>100000</v>
      </c>
      <c r="J206" s="665">
        <f t="shared" ref="J206" si="191">I206+G206</f>
        <v>230000</v>
      </c>
      <c r="K206" s="680"/>
    </row>
    <row r="207" spans="1:11">
      <c r="A207" s="692"/>
      <c r="B207" s="848"/>
      <c r="C207" s="849">
        <v>304.91000000000003</v>
      </c>
      <c r="D207" s="810"/>
      <c r="E207" s="804"/>
      <c r="F207" s="809"/>
      <c r="G207" s="875"/>
      <c r="H207" s="876"/>
      <c r="I207" s="875"/>
      <c r="J207" s="875"/>
      <c r="K207" s="699"/>
    </row>
    <row r="208" spans="1:11">
      <c r="A208" s="755"/>
      <c r="B208" s="647" t="s">
        <v>222</v>
      </c>
      <c r="C208" s="852">
        <v>304.64999999999998</v>
      </c>
      <c r="D208" s="783"/>
      <c r="E208" s="755"/>
      <c r="F208" s="736"/>
      <c r="G208" s="853">
        <f>SUM(G205:G207)</f>
        <v>330000</v>
      </c>
      <c r="H208" s="862"/>
      <c r="I208" s="853">
        <f>SUM(I205:I207)</f>
        <v>260000</v>
      </c>
      <c r="J208" s="878">
        <f>SUM(J205:J207)</f>
        <v>590000</v>
      </c>
      <c r="K208" s="877"/>
    </row>
    <row r="209" spans="1:11">
      <c r="A209" s="755"/>
      <c r="B209" s="647"/>
      <c r="C209" s="852"/>
      <c r="D209" s="783"/>
      <c r="E209" s="755"/>
      <c r="F209" s="736"/>
      <c r="G209" s="891"/>
      <c r="H209" s="892"/>
      <c r="I209" s="891"/>
      <c r="J209" s="893"/>
      <c r="K209" s="877"/>
    </row>
    <row r="210" spans="1:11">
      <c r="A210" s="755"/>
      <c r="B210" s="647" t="s">
        <v>97</v>
      </c>
      <c r="C210" s="852">
        <v>304.64999999999998</v>
      </c>
      <c r="D210" s="783"/>
      <c r="E210" s="755"/>
      <c r="F210" s="736"/>
      <c r="G210" s="891"/>
      <c r="H210" s="892"/>
      <c r="I210" s="891"/>
      <c r="J210" s="878">
        <f>+J202+J186+J179+J152+J138+J128+J105+J117+J208</f>
        <v>28305573</v>
      </c>
      <c r="K210" s="877"/>
    </row>
    <row r="211" spans="1:11">
      <c r="A211" s="674"/>
      <c r="B211" s="845"/>
      <c r="C211" s="871">
        <v>4741.75</v>
      </c>
      <c r="D211" s="679"/>
      <c r="E211" s="674"/>
      <c r="F211" s="678"/>
      <c r="G211" s="856"/>
      <c r="H211" s="857"/>
      <c r="I211" s="856"/>
      <c r="J211" s="856"/>
      <c r="K211" s="895"/>
    </row>
    <row r="212" spans="1:11">
      <c r="A212" s="660"/>
      <c r="B212" s="741"/>
      <c r="C212" s="819">
        <f>C211*2</f>
        <v>9483.5</v>
      </c>
      <c r="D212" s="667"/>
      <c r="E212" s="660"/>
      <c r="F212" s="665"/>
      <c r="G212" s="896"/>
      <c r="H212" s="859"/>
      <c r="I212" s="896"/>
      <c r="J212" s="896"/>
      <c r="K212" s="897"/>
    </row>
    <row r="213" spans="1:11">
      <c r="A213" s="660"/>
      <c r="B213" s="741"/>
      <c r="C213" s="898"/>
      <c r="D213" s="667"/>
      <c r="E213" s="660"/>
      <c r="F213" s="665"/>
      <c r="G213" s="896"/>
      <c r="H213" s="859"/>
      <c r="I213" s="896"/>
      <c r="J213" s="896"/>
      <c r="K213" s="897"/>
    </row>
    <row r="214" spans="1:11">
      <c r="A214" s="660"/>
      <c r="B214" s="741"/>
      <c r="C214" s="898"/>
      <c r="D214" s="899"/>
      <c r="E214" s="660"/>
      <c r="F214" s="665"/>
      <c r="G214" s="900"/>
      <c r="H214" s="859"/>
      <c r="I214" s="896"/>
      <c r="J214" s="896"/>
      <c r="K214" s="897"/>
    </row>
    <row r="215" spans="1:11">
      <c r="A215" s="646"/>
      <c r="B215" s="647"/>
      <c r="C215" s="901"/>
      <c r="D215" s="902"/>
      <c r="E215" s="646"/>
      <c r="F215" s="729"/>
      <c r="G215" s="903"/>
      <c r="H215" s="904"/>
      <c r="I215" s="853"/>
      <c r="J215" s="853"/>
      <c r="K215" s="905"/>
    </row>
    <row r="216" spans="1:11">
      <c r="A216" s="701"/>
      <c r="B216" s="827"/>
      <c r="C216" s="898"/>
      <c r="D216" s="899"/>
      <c r="E216" s="660"/>
      <c r="F216" s="665"/>
      <c r="G216" s="900"/>
      <c r="H216" s="859"/>
      <c r="I216" s="896"/>
      <c r="J216" s="896"/>
      <c r="K216" s="906"/>
    </row>
    <row r="217" spans="1:11">
      <c r="A217" s="660"/>
      <c r="B217" s="741"/>
      <c r="C217" s="819"/>
      <c r="D217" s="667"/>
      <c r="E217" s="660"/>
      <c r="F217" s="665"/>
      <c r="G217" s="900"/>
      <c r="H217" s="859"/>
      <c r="I217" s="896"/>
      <c r="J217" s="896"/>
      <c r="K217" s="897"/>
    </row>
    <row r="218" spans="1:11">
      <c r="A218" s="660"/>
      <c r="B218" s="741"/>
      <c r="C218" s="819">
        <v>142.5</v>
      </c>
      <c r="D218" s="667"/>
      <c r="E218" s="660"/>
      <c r="F218" s="665"/>
      <c r="G218" s="900"/>
      <c r="H218" s="859"/>
      <c r="I218" s="896"/>
      <c r="J218" s="896"/>
      <c r="K218" s="897"/>
    </row>
    <row r="219" spans="1:11">
      <c r="A219" s="660"/>
      <c r="B219" s="741"/>
      <c r="C219" s="819"/>
      <c r="D219" s="899"/>
      <c r="E219" s="660"/>
      <c r="F219" s="665"/>
      <c r="G219" s="900"/>
      <c r="H219" s="859"/>
      <c r="I219" s="896"/>
      <c r="J219" s="896"/>
      <c r="K219" s="897"/>
    </row>
    <row r="220" spans="1:11">
      <c r="A220" s="804"/>
      <c r="B220" s="907"/>
      <c r="C220" s="908"/>
      <c r="D220" s="909"/>
      <c r="E220" s="804"/>
      <c r="F220" s="809"/>
      <c r="G220" s="910"/>
      <c r="H220" s="876"/>
      <c r="I220" s="875"/>
      <c r="J220" s="875"/>
      <c r="K220" s="911"/>
    </row>
    <row r="221" spans="1:11">
      <c r="A221" s="646"/>
      <c r="B221" s="647"/>
      <c r="C221" s="901"/>
      <c r="D221" s="902"/>
      <c r="E221" s="646"/>
      <c r="F221" s="729"/>
      <c r="G221" s="903"/>
      <c r="H221" s="904"/>
      <c r="I221" s="853"/>
      <c r="J221" s="853"/>
      <c r="K221" s="905"/>
    </row>
    <row r="222" spans="1:11">
      <c r="A222" s="863"/>
      <c r="B222" s="864"/>
      <c r="C222" s="912"/>
      <c r="D222" s="866"/>
      <c r="E222" s="867"/>
      <c r="F222" s="651"/>
      <c r="G222" s="913"/>
      <c r="H222" s="869"/>
      <c r="I222" s="868"/>
      <c r="J222" s="868"/>
      <c r="K222" s="914"/>
    </row>
    <row r="223" spans="1:11">
      <c r="A223" s="701"/>
      <c r="B223" s="741"/>
      <c r="C223" s="898"/>
      <c r="D223" s="667"/>
      <c r="E223" s="660"/>
      <c r="F223" s="665"/>
      <c r="G223" s="900"/>
      <c r="H223" s="859"/>
      <c r="I223" s="896"/>
      <c r="J223" s="896"/>
      <c r="K223" s="906"/>
    </row>
    <row r="224" spans="1:11">
      <c r="A224" s="701"/>
      <c r="B224" s="741"/>
      <c r="C224" s="898"/>
      <c r="D224" s="667"/>
      <c r="E224" s="660"/>
      <c r="F224" s="665"/>
      <c r="G224" s="900"/>
      <c r="H224" s="859"/>
      <c r="I224" s="896"/>
      <c r="J224" s="896"/>
      <c r="K224" s="906"/>
    </row>
    <row r="225" spans="1:11">
      <c r="A225" s="701"/>
      <c r="B225" s="741"/>
      <c r="C225" s="898"/>
      <c r="D225" s="667"/>
      <c r="E225" s="660"/>
      <c r="F225" s="665"/>
      <c r="G225" s="900"/>
      <c r="H225" s="859"/>
      <c r="I225" s="896"/>
      <c r="J225" s="896"/>
      <c r="K225" s="906"/>
    </row>
    <row r="226" spans="1:11">
      <c r="A226" s="701"/>
      <c r="B226" s="741"/>
      <c r="C226" s="898"/>
      <c r="D226" s="667"/>
      <c r="E226" s="660"/>
      <c r="F226" s="665"/>
      <c r="G226" s="900"/>
      <c r="H226" s="859"/>
      <c r="I226" s="896"/>
      <c r="J226" s="896"/>
      <c r="K226" s="906"/>
    </row>
    <row r="227" spans="1:11">
      <c r="A227" s="701"/>
      <c r="B227" s="741"/>
      <c r="C227" s="898"/>
      <c r="D227" s="667"/>
      <c r="E227" s="660"/>
      <c r="F227" s="665"/>
      <c r="G227" s="900"/>
      <c r="H227" s="859"/>
      <c r="I227" s="896"/>
      <c r="J227" s="896"/>
      <c r="K227" s="906"/>
    </row>
    <row r="228" spans="1:11">
      <c r="A228" s="701"/>
      <c r="B228" s="741"/>
      <c r="C228" s="898"/>
      <c r="D228" s="667"/>
      <c r="E228" s="660"/>
      <c r="F228" s="665"/>
      <c r="G228" s="900"/>
      <c r="H228" s="859"/>
      <c r="I228" s="896"/>
      <c r="J228" s="896"/>
      <c r="K228" s="906"/>
    </row>
    <row r="229" spans="1:11">
      <c r="A229" s="701"/>
      <c r="B229" s="741"/>
      <c r="C229" s="898"/>
      <c r="D229" s="667"/>
      <c r="E229" s="660"/>
      <c r="F229" s="665"/>
      <c r="G229" s="900"/>
      <c r="H229" s="859"/>
      <c r="I229" s="896"/>
      <c r="J229" s="896"/>
      <c r="K229" s="906"/>
    </row>
    <row r="230" spans="1:11">
      <c r="A230" s="660"/>
      <c r="B230" s="741"/>
      <c r="C230" s="898"/>
      <c r="D230" s="667"/>
      <c r="E230" s="660"/>
      <c r="F230" s="665"/>
      <c r="G230" s="900"/>
      <c r="H230" s="819"/>
      <c r="I230" s="896"/>
      <c r="J230" s="896"/>
      <c r="K230" s="897"/>
    </row>
    <row r="231" spans="1:11">
      <c r="A231" s="646"/>
      <c r="B231" s="647"/>
      <c r="C231" s="901"/>
      <c r="D231" s="902"/>
      <c r="E231" s="646"/>
      <c r="F231" s="729"/>
      <c r="G231" s="903"/>
      <c r="H231" s="904"/>
      <c r="I231" s="853"/>
      <c r="J231" s="853"/>
      <c r="K231" s="905"/>
    </row>
    <row r="232" spans="1:11">
      <c r="A232" s="706"/>
      <c r="B232" s="737"/>
      <c r="C232" s="915"/>
      <c r="D232" s="894"/>
      <c r="E232" s="674"/>
      <c r="F232" s="678"/>
      <c r="G232" s="916"/>
      <c r="H232" s="857"/>
      <c r="I232" s="856"/>
      <c r="J232" s="856"/>
      <c r="K232" s="917"/>
    </row>
    <row r="233" spans="1:11">
      <c r="A233" s="660"/>
      <c r="B233" s="741"/>
      <c r="C233" s="898"/>
      <c r="D233" s="667"/>
      <c r="E233" s="660"/>
      <c r="F233" s="665"/>
      <c r="G233" s="900"/>
      <c r="H233" s="819"/>
      <c r="I233" s="896"/>
      <c r="J233" s="900"/>
      <c r="K233" s="897"/>
    </row>
    <row r="234" spans="1:11">
      <c r="A234" s="660"/>
      <c r="B234" s="741"/>
      <c r="C234" s="898"/>
      <c r="D234" s="667"/>
      <c r="E234" s="660"/>
      <c r="F234" s="665"/>
      <c r="G234" s="900"/>
      <c r="H234" s="819"/>
      <c r="I234" s="896"/>
      <c r="J234" s="900"/>
      <c r="K234" s="897"/>
    </row>
    <row r="235" spans="1:11">
      <c r="A235" s="660"/>
      <c r="B235" s="741"/>
      <c r="C235" s="898"/>
      <c r="D235" s="667"/>
      <c r="E235" s="660"/>
      <c r="F235" s="665"/>
      <c r="G235" s="900"/>
      <c r="H235" s="819"/>
      <c r="I235" s="896"/>
      <c r="J235" s="900"/>
      <c r="K235" s="897"/>
    </row>
    <row r="236" spans="1:11">
      <c r="A236" s="660"/>
      <c r="B236" s="741"/>
      <c r="C236" s="898"/>
      <c r="D236" s="667"/>
      <c r="E236" s="660"/>
      <c r="F236" s="665"/>
      <c r="G236" s="900"/>
      <c r="H236" s="819"/>
      <c r="I236" s="896"/>
      <c r="J236" s="900"/>
      <c r="K236" s="897"/>
    </row>
    <row r="237" spans="1:11">
      <c r="A237" s="660"/>
      <c r="B237" s="741"/>
      <c r="C237" s="898"/>
      <c r="D237" s="667"/>
      <c r="E237" s="660"/>
      <c r="F237" s="665"/>
      <c r="G237" s="900"/>
      <c r="H237" s="819"/>
      <c r="I237" s="896"/>
      <c r="J237" s="900"/>
      <c r="K237" s="897"/>
    </row>
    <row r="238" spans="1:11">
      <c r="A238" s="804"/>
      <c r="B238" s="918"/>
      <c r="C238" s="908"/>
      <c r="D238" s="919"/>
      <c r="E238" s="804"/>
      <c r="F238" s="809"/>
      <c r="G238" s="910"/>
      <c r="H238" s="920"/>
      <c r="I238" s="875"/>
      <c r="J238" s="875"/>
      <c r="K238" s="911"/>
    </row>
    <row r="239" spans="1:11">
      <c r="A239" s="646"/>
      <c r="B239" s="647"/>
      <c r="C239" s="901"/>
      <c r="D239" s="902"/>
      <c r="E239" s="646"/>
      <c r="F239" s="729"/>
      <c r="G239" s="903"/>
      <c r="H239" s="904"/>
      <c r="I239" s="853"/>
      <c r="J239" s="853"/>
      <c r="K239" s="905"/>
    </row>
    <row r="240" spans="1:11">
      <c r="A240" s="706"/>
      <c r="B240" s="737"/>
      <c r="C240" s="915"/>
      <c r="D240" s="894"/>
      <c r="E240" s="674"/>
      <c r="F240" s="678"/>
      <c r="G240" s="916"/>
      <c r="H240" s="857"/>
      <c r="I240" s="856"/>
      <c r="J240" s="856"/>
      <c r="K240" s="917"/>
    </row>
    <row r="241" spans="1:11">
      <c r="A241" s="701"/>
      <c r="B241" s="741"/>
      <c r="C241" s="898"/>
      <c r="D241" s="884"/>
      <c r="E241" s="660"/>
      <c r="F241" s="665"/>
      <c r="G241" s="900"/>
      <c r="H241" s="819"/>
      <c r="I241" s="896"/>
      <c r="J241" s="896"/>
      <c r="K241" s="921"/>
    </row>
    <row r="242" spans="1:11">
      <c r="A242" s="701"/>
      <c r="B242" s="741"/>
      <c r="C242" s="922"/>
      <c r="D242" s="884"/>
      <c r="E242" s="660"/>
      <c r="F242" s="665"/>
      <c r="G242" s="900"/>
      <c r="H242" s="859"/>
      <c r="I242" s="896"/>
      <c r="J242" s="896"/>
      <c r="K242" s="921"/>
    </row>
    <row r="243" spans="1:11">
      <c r="A243" s="701"/>
      <c r="B243" s="741"/>
      <c r="C243" s="922"/>
      <c r="D243" s="884"/>
      <c r="E243" s="660"/>
      <c r="F243" s="665"/>
      <c r="G243" s="900"/>
      <c r="H243" s="859"/>
      <c r="I243" s="896"/>
      <c r="J243" s="896"/>
      <c r="K243" s="921"/>
    </row>
    <row r="244" spans="1:11">
      <c r="A244" s="701"/>
      <c r="B244" s="741"/>
      <c r="C244" s="922"/>
      <c r="D244" s="884"/>
      <c r="E244" s="660"/>
      <c r="F244" s="923"/>
      <c r="G244" s="900"/>
      <c r="H244" s="924"/>
      <c r="I244" s="896"/>
      <c r="J244" s="896"/>
      <c r="K244" s="921"/>
    </row>
    <row r="245" spans="1:11">
      <c r="A245" s="701"/>
      <c r="B245" s="741"/>
      <c r="C245" s="922"/>
      <c r="D245" s="884"/>
      <c r="E245" s="660"/>
      <c r="F245" s="665"/>
      <c r="G245" s="900"/>
      <c r="H245" s="859"/>
      <c r="I245" s="896"/>
      <c r="J245" s="896"/>
      <c r="K245" s="921"/>
    </row>
    <row r="246" spans="1:11">
      <c r="A246" s="701"/>
      <c r="B246" s="741"/>
      <c r="C246" s="922"/>
      <c r="D246" s="884"/>
      <c r="E246" s="660"/>
      <c r="F246" s="923"/>
      <c r="G246" s="900"/>
      <c r="H246" s="924"/>
      <c r="I246" s="896"/>
      <c r="J246" s="896"/>
      <c r="K246" s="921"/>
    </row>
    <row r="247" spans="1:11">
      <c r="A247" s="701"/>
      <c r="B247" s="741"/>
      <c r="C247" s="922"/>
      <c r="D247" s="884"/>
      <c r="E247" s="660"/>
      <c r="F247" s="923"/>
      <c r="G247" s="900"/>
      <c r="H247" s="924"/>
      <c r="I247" s="896"/>
      <c r="J247" s="896"/>
      <c r="K247" s="921"/>
    </row>
    <row r="248" spans="1:11">
      <c r="A248" s="701"/>
      <c r="B248" s="741"/>
      <c r="C248" s="922"/>
      <c r="D248" s="884"/>
      <c r="E248" s="660"/>
      <c r="F248" s="665"/>
      <c r="G248" s="900"/>
      <c r="H248" s="859"/>
      <c r="I248" s="896"/>
      <c r="J248" s="896"/>
      <c r="K248" s="921"/>
    </row>
    <row r="249" spans="1:11">
      <c r="A249" s="701"/>
      <c r="B249" s="741"/>
      <c r="C249" s="922"/>
      <c r="D249" s="884"/>
      <c r="E249" s="660"/>
      <c r="F249" s="665"/>
      <c r="G249" s="900"/>
      <c r="H249" s="859"/>
      <c r="I249" s="896"/>
      <c r="J249" s="896"/>
      <c r="K249" s="921"/>
    </row>
    <row r="250" spans="1:11">
      <c r="A250" s="925"/>
      <c r="B250" s="741"/>
      <c r="C250" s="922"/>
      <c r="D250" s="884"/>
      <c r="E250" s="660"/>
      <c r="F250" s="665"/>
      <c r="G250" s="900"/>
      <c r="H250" s="859"/>
      <c r="I250" s="896"/>
      <c r="J250" s="896"/>
      <c r="K250" s="926"/>
    </row>
    <row r="251" spans="1:11">
      <c r="A251" s="804"/>
      <c r="B251" s="927"/>
      <c r="C251" s="908"/>
      <c r="D251" s="810"/>
      <c r="E251" s="804"/>
      <c r="F251" s="809"/>
      <c r="G251" s="910"/>
      <c r="H251" s="920"/>
      <c r="I251" s="875"/>
      <c r="J251" s="875"/>
      <c r="K251" s="911"/>
    </row>
    <row r="252" spans="1:11">
      <c r="A252" s="754"/>
      <c r="B252" s="928"/>
      <c r="C252" s="929"/>
      <c r="D252" s="930"/>
      <c r="E252" s="754"/>
      <c r="F252" s="931"/>
      <c r="G252" s="932"/>
      <c r="H252" s="933"/>
      <c r="I252" s="934"/>
      <c r="J252" s="934"/>
      <c r="K252" s="935"/>
    </row>
    <row r="253" spans="1:11">
      <c r="A253" s="863"/>
      <c r="B253" s="864"/>
      <c r="C253" s="912"/>
      <c r="D253" s="866"/>
      <c r="E253" s="867"/>
      <c r="F253" s="651"/>
      <c r="G253" s="913"/>
      <c r="H253" s="869"/>
      <c r="I253" s="868"/>
      <c r="J253" s="868"/>
      <c r="K253" s="914"/>
    </row>
    <row r="254" spans="1:11">
      <c r="A254" s="660"/>
      <c r="B254" s="741"/>
      <c r="C254" s="819">
        <v>874.5</v>
      </c>
      <c r="D254" s="884"/>
      <c r="E254" s="660"/>
      <c r="F254" s="665"/>
      <c r="G254" s="900"/>
      <c r="H254" s="859"/>
      <c r="I254" s="896"/>
      <c r="J254" s="896"/>
      <c r="K254" s="897"/>
    </row>
    <row r="255" spans="1:11">
      <c r="A255" s="660"/>
      <c r="B255" s="741"/>
      <c r="C255" s="819">
        <v>875.5</v>
      </c>
      <c r="D255" s="884"/>
      <c r="E255" s="660"/>
      <c r="F255" s="665"/>
      <c r="G255" s="900"/>
      <c r="H255" s="859"/>
      <c r="I255" s="896"/>
      <c r="J255" s="896"/>
      <c r="K255" s="897"/>
    </row>
    <row r="256" spans="1:11">
      <c r="A256" s="660"/>
      <c r="B256" s="741"/>
      <c r="C256" s="819"/>
      <c r="D256" s="884"/>
      <c r="E256" s="660"/>
      <c r="F256" s="665"/>
      <c r="G256" s="900"/>
      <c r="H256" s="859"/>
      <c r="I256" s="896"/>
      <c r="J256" s="896"/>
      <c r="K256" s="897"/>
    </row>
    <row r="257" spans="1:11">
      <c r="A257" s="692"/>
      <c r="B257" s="936"/>
      <c r="C257" s="937"/>
      <c r="D257" s="938"/>
      <c r="E257" s="692"/>
      <c r="F257" s="792"/>
      <c r="G257" s="939"/>
      <c r="H257" s="940"/>
      <c r="I257" s="860"/>
      <c r="J257" s="860"/>
      <c r="K257" s="941"/>
    </row>
    <row r="258" spans="1:11">
      <c r="A258" s="646"/>
      <c r="B258" s="647"/>
      <c r="C258" s="901"/>
      <c r="D258" s="902"/>
      <c r="E258" s="646"/>
      <c r="F258" s="729"/>
      <c r="G258" s="903"/>
      <c r="H258" s="904"/>
      <c r="I258" s="853"/>
      <c r="J258" s="853"/>
      <c r="K258" s="905"/>
    </row>
    <row r="259" spans="1:11">
      <c r="A259" s="863"/>
      <c r="B259" s="864"/>
      <c r="C259" s="912"/>
      <c r="D259" s="866"/>
      <c r="E259" s="867"/>
      <c r="F259" s="651"/>
      <c r="G259" s="913"/>
      <c r="H259" s="869"/>
      <c r="I259" s="868"/>
      <c r="J259" s="868"/>
      <c r="K259" s="914"/>
    </row>
    <row r="260" spans="1:11">
      <c r="A260" s="660"/>
      <c r="B260" s="741"/>
      <c r="C260" s="898"/>
      <c r="D260" s="667"/>
      <c r="E260" s="660"/>
      <c r="F260" s="665"/>
      <c r="G260" s="900"/>
      <c r="H260" s="819"/>
      <c r="I260" s="896"/>
      <c r="J260" s="896"/>
      <c r="K260" s="942"/>
    </row>
    <row r="261" spans="1:11">
      <c r="A261" s="660"/>
      <c r="B261" s="741"/>
      <c r="C261" s="898"/>
      <c r="D261" s="667"/>
      <c r="E261" s="660"/>
      <c r="F261" s="665"/>
      <c r="G261" s="900"/>
      <c r="H261" s="819"/>
      <c r="I261" s="896"/>
      <c r="J261" s="896"/>
      <c r="K261" s="942"/>
    </row>
    <row r="262" spans="1:11">
      <c r="A262" s="660"/>
      <c r="B262" s="741"/>
      <c r="C262" s="898"/>
      <c r="D262" s="667"/>
      <c r="E262" s="660"/>
      <c r="F262" s="665"/>
      <c r="G262" s="900"/>
      <c r="H262" s="819"/>
      <c r="I262" s="896"/>
      <c r="J262" s="896"/>
      <c r="K262" s="942"/>
    </row>
    <row r="263" spans="1:11">
      <c r="A263" s="660"/>
      <c r="B263" s="741"/>
      <c r="C263" s="898"/>
      <c r="D263" s="667"/>
      <c r="E263" s="660"/>
      <c r="F263" s="665"/>
      <c r="G263" s="900"/>
      <c r="H263" s="819"/>
      <c r="I263" s="896"/>
      <c r="J263" s="896"/>
      <c r="K263" s="942"/>
    </row>
    <row r="264" spans="1:11">
      <c r="A264" s="660"/>
      <c r="B264" s="741"/>
      <c r="C264" s="898"/>
      <c r="D264" s="667"/>
      <c r="E264" s="660"/>
      <c r="F264" s="665"/>
      <c r="G264" s="900"/>
      <c r="H264" s="819"/>
      <c r="I264" s="896"/>
      <c r="J264" s="896"/>
      <c r="K264" s="942"/>
    </row>
    <row r="265" spans="1:11">
      <c r="A265" s="660"/>
      <c r="B265" s="741"/>
      <c r="C265" s="898"/>
      <c r="D265" s="667"/>
      <c r="E265" s="660"/>
      <c r="F265" s="665"/>
      <c r="G265" s="900"/>
      <c r="H265" s="819"/>
      <c r="I265" s="896"/>
      <c r="J265" s="896"/>
      <c r="K265" s="942"/>
    </row>
    <row r="266" spans="1:11">
      <c r="A266" s="660"/>
      <c r="B266" s="943"/>
      <c r="C266" s="898"/>
      <c r="D266" s="667"/>
      <c r="E266" s="660"/>
      <c r="F266" s="665"/>
      <c r="G266" s="900"/>
      <c r="H266" s="819"/>
      <c r="I266" s="896"/>
      <c r="J266" s="896"/>
      <c r="K266" s="942"/>
    </row>
    <row r="267" spans="1:11">
      <c r="A267" s="660"/>
      <c r="B267" s="741"/>
      <c r="C267" s="898"/>
      <c r="D267" s="667"/>
      <c r="E267" s="660"/>
      <c r="F267" s="665"/>
      <c r="G267" s="900"/>
      <c r="H267" s="819"/>
      <c r="I267" s="896"/>
      <c r="J267" s="896"/>
      <c r="K267" s="942"/>
    </row>
    <row r="268" spans="1:11">
      <c r="A268" s="660"/>
      <c r="B268" s="741"/>
      <c r="C268" s="898"/>
      <c r="D268" s="667"/>
      <c r="E268" s="660"/>
      <c r="F268" s="665"/>
      <c r="G268" s="900"/>
      <c r="H268" s="819"/>
      <c r="I268" s="896"/>
      <c r="J268" s="896"/>
      <c r="K268" s="897"/>
    </row>
    <row r="269" spans="1:11">
      <c r="A269" s="692"/>
      <c r="B269" s="741"/>
      <c r="C269" s="898"/>
      <c r="D269" s="667"/>
      <c r="E269" s="660"/>
      <c r="F269" s="665"/>
      <c r="G269" s="900"/>
      <c r="H269" s="819"/>
      <c r="I269" s="896"/>
      <c r="J269" s="896"/>
      <c r="K269" s="941"/>
    </row>
    <row r="270" spans="1:11">
      <c r="A270" s="692"/>
      <c r="B270" s="936"/>
      <c r="C270" s="937"/>
      <c r="D270" s="938"/>
      <c r="E270" s="692"/>
      <c r="F270" s="792"/>
      <c r="G270" s="939"/>
      <c r="H270" s="940"/>
      <c r="I270" s="860"/>
      <c r="J270" s="860"/>
      <c r="K270" s="941"/>
    </row>
    <row r="271" spans="1:11">
      <c r="A271" s="646"/>
      <c r="B271" s="647"/>
      <c r="C271" s="901"/>
      <c r="D271" s="902"/>
      <c r="E271" s="646"/>
      <c r="F271" s="729"/>
      <c r="G271" s="903"/>
      <c r="H271" s="904"/>
      <c r="I271" s="853"/>
      <c r="J271" s="853"/>
      <c r="K271" s="905"/>
    </row>
    <row r="272" spans="1:11">
      <c r="A272" s="701"/>
      <c r="B272" s="827"/>
      <c r="C272" s="898"/>
      <c r="D272" s="899"/>
      <c r="E272" s="660"/>
      <c r="F272" s="665"/>
      <c r="G272" s="900"/>
      <c r="H272" s="859"/>
      <c r="I272" s="896"/>
      <c r="J272" s="896"/>
      <c r="K272" s="906"/>
    </row>
    <row r="273" spans="1:11">
      <c r="A273" s="660"/>
      <c r="B273" s="741"/>
      <c r="C273" s="898"/>
      <c r="D273" s="899"/>
      <c r="E273" s="660"/>
      <c r="F273" s="665"/>
      <c r="G273" s="900"/>
      <c r="H273" s="819"/>
      <c r="I273" s="896"/>
      <c r="J273" s="896"/>
      <c r="K273" s="897"/>
    </row>
    <row r="274" spans="1:11">
      <c r="A274" s="660"/>
      <c r="B274" s="943"/>
      <c r="C274" s="819">
        <v>55.61</v>
      </c>
      <c r="D274" s="667"/>
      <c r="E274" s="660"/>
      <c r="F274" s="665"/>
      <c r="G274" s="900"/>
      <c r="H274" s="819"/>
      <c r="I274" s="896"/>
      <c r="J274" s="896"/>
      <c r="K274" s="897"/>
    </row>
    <row r="275" spans="1:11">
      <c r="A275" s="660"/>
      <c r="B275" s="943"/>
      <c r="C275" s="819">
        <v>11.9</v>
      </c>
      <c r="D275" s="667"/>
      <c r="E275" s="660"/>
      <c r="F275" s="665"/>
      <c r="G275" s="900"/>
      <c r="H275" s="819"/>
      <c r="I275" s="896"/>
      <c r="J275" s="896"/>
      <c r="K275" s="897"/>
    </row>
    <row r="276" spans="1:11" s="945" customFormat="1">
      <c r="A276" s="660"/>
      <c r="B276" s="944"/>
      <c r="C276" s="819"/>
      <c r="D276" s="667"/>
      <c r="E276" s="660"/>
      <c r="F276" s="665"/>
      <c r="G276" s="900"/>
      <c r="H276" s="819"/>
      <c r="I276" s="896"/>
      <c r="J276" s="896"/>
      <c r="K276" s="897"/>
    </row>
    <row r="277" spans="1:11" s="945" customFormat="1">
      <c r="A277" s="660"/>
      <c r="B277" s="741"/>
      <c r="C277" s="898"/>
      <c r="D277" s="899"/>
      <c r="E277" s="660"/>
      <c r="F277" s="665"/>
      <c r="G277" s="900"/>
      <c r="H277" s="819"/>
      <c r="I277" s="896"/>
      <c r="J277" s="896"/>
      <c r="K277" s="897"/>
    </row>
    <row r="278" spans="1:11" s="945" customFormat="1">
      <c r="A278" s="660"/>
      <c r="B278" s="943"/>
      <c r="C278" s="819">
        <v>80.099999999999994</v>
      </c>
      <c r="D278" s="667"/>
      <c r="E278" s="660"/>
      <c r="F278" s="665"/>
      <c r="G278" s="900"/>
      <c r="H278" s="819"/>
      <c r="I278" s="896"/>
      <c r="J278" s="896"/>
      <c r="K278" s="897"/>
    </row>
    <row r="279" spans="1:11" s="945" customFormat="1">
      <c r="A279" s="660"/>
      <c r="B279" s="943"/>
      <c r="C279" s="819">
        <v>110</v>
      </c>
      <c r="D279" s="667"/>
      <c r="E279" s="660"/>
      <c r="F279" s="665"/>
      <c r="G279" s="900"/>
      <c r="H279" s="819"/>
      <c r="I279" s="896"/>
      <c r="J279" s="896"/>
      <c r="K279" s="897"/>
    </row>
    <row r="280" spans="1:11" s="945" customFormat="1">
      <c r="A280" s="946"/>
      <c r="B280" s="947"/>
      <c r="C280" s="948"/>
      <c r="D280" s="667"/>
      <c r="E280" s="949"/>
      <c r="F280" s="665"/>
      <c r="G280" s="900"/>
      <c r="H280" s="819"/>
      <c r="I280" s="896"/>
      <c r="J280" s="896"/>
      <c r="K280" s="906"/>
    </row>
    <row r="281" spans="1:11">
      <c r="A281" s="946"/>
      <c r="B281" s="947"/>
      <c r="C281" s="948"/>
      <c r="D281" s="666"/>
      <c r="E281" s="949"/>
      <c r="F281" s="665"/>
      <c r="G281" s="900"/>
      <c r="H281" s="667"/>
      <c r="I281" s="896"/>
      <c r="J281" s="665"/>
      <c r="K281" s="906"/>
    </row>
    <row r="282" spans="1:11">
      <c r="A282" s="946"/>
      <c r="B282" s="950"/>
      <c r="C282" s="948"/>
      <c r="D282" s="665"/>
      <c r="E282" s="949"/>
      <c r="F282" s="665"/>
      <c r="G282" s="900"/>
      <c r="H282" s="667"/>
      <c r="I282" s="896"/>
      <c r="J282" s="665"/>
      <c r="K282" s="906"/>
    </row>
    <row r="283" spans="1:11">
      <c r="A283" s="946"/>
      <c r="B283" s="951"/>
      <c r="C283" s="948"/>
      <c r="D283" s="667"/>
      <c r="E283" s="949"/>
      <c r="F283" s="665"/>
      <c r="G283" s="900"/>
      <c r="H283" s="819"/>
      <c r="I283" s="896"/>
      <c r="J283" s="896"/>
      <c r="K283" s="906"/>
    </row>
    <row r="284" spans="1:11">
      <c r="A284" s="946"/>
      <c r="B284" s="950"/>
      <c r="C284" s="948"/>
      <c r="D284" s="667"/>
      <c r="E284" s="949"/>
      <c r="F284" s="665"/>
      <c r="G284" s="900"/>
      <c r="H284" s="819"/>
      <c r="I284" s="896"/>
      <c r="J284" s="896"/>
      <c r="K284" s="906"/>
    </row>
    <row r="285" spans="1:11">
      <c r="A285" s="646"/>
      <c r="B285" s="952"/>
      <c r="C285" s="901"/>
      <c r="D285" s="902"/>
      <c r="E285" s="646"/>
      <c r="F285" s="729"/>
      <c r="G285" s="903"/>
      <c r="H285" s="953"/>
      <c r="I285" s="853"/>
      <c r="J285" s="853"/>
      <c r="K285" s="954"/>
    </row>
    <row r="286" spans="1:11">
      <c r="A286" s="955"/>
      <c r="B286" s="864"/>
      <c r="C286" s="912"/>
      <c r="D286" s="866"/>
      <c r="E286" s="867"/>
      <c r="F286" s="651"/>
      <c r="G286" s="913"/>
      <c r="H286" s="869"/>
      <c r="I286" s="868"/>
      <c r="J286" s="868"/>
      <c r="K286" s="914"/>
    </row>
    <row r="287" spans="1:11">
      <c r="A287" s="956"/>
      <c r="B287" s="741"/>
      <c r="C287" s="819">
        <v>148</v>
      </c>
      <c r="D287" s="667"/>
      <c r="E287" s="660"/>
      <c r="F287" s="665"/>
      <c r="G287" s="900"/>
      <c r="H287" s="819"/>
      <c r="I287" s="896"/>
      <c r="J287" s="896"/>
      <c r="K287" s="917"/>
    </row>
    <row r="288" spans="1:11">
      <c r="A288" s="956"/>
      <c r="B288" s="741"/>
      <c r="C288" s="819">
        <v>149</v>
      </c>
      <c r="D288" s="667"/>
      <c r="E288" s="660"/>
      <c r="F288" s="665"/>
      <c r="G288" s="900"/>
      <c r="H288" s="819"/>
      <c r="I288" s="896"/>
      <c r="J288" s="896"/>
      <c r="K288" s="917"/>
    </row>
    <row r="289" spans="1:11">
      <c r="A289" s="660"/>
      <c r="B289" s="741"/>
      <c r="C289" s="819">
        <v>148</v>
      </c>
      <c r="D289" s="667"/>
      <c r="E289" s="660"/>
      <c r="F289" s="665"/>
      <c r="G289" s="900"/>
      <c r="H289" s="819"/>
      <c r="I289" s="896"/>
      <c r="J289" s="896"/>
      <c r="K289" s="897"/>
    </row>
    <row r="290" spans="1:11">
      <c r="A290" s="660"/>
      <c r="B290" s="957"/>
      <c r="C290" s="898"/>
      <c r="D290" s="667"/>
      <c r="E290" s="660"/>
      <c r="F290" s="665"/>
      <c r="G290" s="900"/>
      <c r="H290" s="819"/>
      <c r="I290" s="896"/>
      <c r="J290" s="896"/>
      <c r="K290" s="897"/>
    </row>
    <row r="291" spans="1:11">
      <c r="A291" s="660"/>
      <c r="B291" s="741"/>
      <c r="C291" s="819"/>
      <c r="D291" s="667"/>
      <c r="E291" s="660"/>
      <c r="F291" s="665"/>
      <c r="G291" s="900"/>
      <c r="H291" s="819"/>
      <c r="I291" s="896"/>
      <c r="J291" s="896"/>
      <c r="K291" s="897"/>
    </row>
    <row r="292" spans="1:11">
      <c r="A292" s="660"/>
      <c r="B292" s="741"/>
      <c r="C292" s="819"/>
      <c r="D292" s="667"/>
      <c r="E292" s="660"/>
      <c r="F292" s="665"/>
      <c r="G292" s="900"/>
      <c r="H292" s="819"/>
      <c r="I292" s="896"/>
      <c r="J292" s="896"/>
      <c r="K292" s="897"/>
    </row>
    <row r="293" spans="1:11">
      <c r="A293" s="660"/>
      <c r="B293" s="958"/>
      <c r="C293" s="684"/>
      <c r="D293" s="667"/>
      <c r="E293" s="949"/>
      <c r="F293" s="665"/>
      <c r="G293" s="900"/>
      <c r="H293" s="819"/>
      <c r="I293" s="896"/>
      <c r="J293" s="896"/>
      <c r="K293" s="897"/>
    </row>
    <row r="294" spans="1:11">
      <c r="A294" s="660"/>
      <c r="B294" s="959"/>
      <c r="C294" s="684"/>
      <c r="D294" s="667"/>
      <c r="E294" s="660"/>
      <c r="F294" s="665"/>
      <c r="G294" s="900"/>
      <c r="H294" s="819"/>
      <c r="I294" s="896"/>
      <c r="J294" s="896"/>
      <c r="K294" s="897"/>
    </row>
    <row r="295" spans="1:11">
      <c r="A295" s="960"/>
      <c r="B295" s="952"/>
      <c r="C295" s="960"/>
      <c r="D295" s="961"/>
      <c r="E295" s="962"/>
      <c r="F295" s="963"/>
      <c r="G295" s="964"/>
      <c r="H295" s="953"/>
      <c r="I295" s="964"/>
      <c r="J295" s="964"/>
      <c r="K295" s="965"/>
    </row>
    <row r="296" spans="1:11">
      <c r="A296" s="960"/>
      <c r="B296" s="966"/>
      <c r="C296" s="967"/>
      <c r="D296" s="961"/>
      <c r="E296" s="962"/>
      <c r="F296" s="963"/>
      <c r="G296" s="964"/>
      <c r="H296" s="953"/>
      <c r="I296" s="964"/>
      <c r="J296" s="729"/>
      <c r="K296" s="965"/>
    </row>
    <row r="297" spans="1:11">
      <c r="A297" s="754"/>
      <c r="B297" s="968"/>
      <c r="C297" s="969"/>
      <c r="D297" s="970"/>
      <c r="E297" s="754"/>
      <c r="F297" s="971"/>
      <c r="G297" s="972"/>
      <c r="H297" s="973"/>
      <c r="I297" s="932"/>
      <c r="J297" s="974"/>
      <c r="K297" s="975"/>
    </row>
    <row r="298" spans="1:11">
      <c r="A298" s="646"/>
      <c r="B298" s="976"/>
      <c r="C298" s="901"/>
      <c r="D298" s="977"/>
      <c r="E298" s="978"/>
      <c r="F298" s="979"/>
      <c r="G298" s="980"/>
      <c r="H298" s="981"/>
      <c r="I298" s="980"/>
      <c r="J298" s="980"/>
      <c r="K298" s="982"/>
    </row>
    <row r="299" spans="1:11">
      <c r="A299" s="757"/>
      <c r="B299" s="983"/>
      <c r="C299" s="757"/>
      <c r="D299" s="984"/>
      <c r="E299" s="985"/>
      <c r="F299" s="986"/>
      <c r="G299" s="987"/>
      <c r="H299" s="988"/>
      <c r="I299" s="987"/>
      <c r="J299" s="987"/>
      <c r="K299" s="989"/>
    </row>
    <row r="300" spans="1:11">
      <c r="A300" s="701"/>
      <c r="B300" s="990"/>
      <c r="C300" s="660" t="s">
        <v>19</v>
      </c>
      <c r="D300" s="991"/>
      <c r="E300" s="992"/>
      <c r="F300" s="847"/>
      <c r="G300" s="993"/>
      <c r="H300" s="994"/>
      <c r="I300" s="993"/>
      <c r="J300" s="993"/>
      <c r="K300" s="995"/>
    </row>
    <row r="301" spans="1:11">
      <c r="A301" s="701"/>
      <c r="B301" s="990"/>
      <c r="C301" s="660" t="s">
        <v>19</v>
      </c>
      <c r="D301" s="991"/>
      <c r="E301" s="992"/>
      <c r="F301" s="923"/>
      <c r="G301" s="900"/>
      <c r="H301" s="859"/>
      <c r="I301" s="900"/>
      <c r="J301" s="900"/>
      <c r="K301" s="995"/>
    </row>
    <row r="302" spans="1:11">
      <c r="A302" s="701"/>
      <c r="B302" s="990"/>
      <c r="C302" s="660" t="s">
        <v>19</v>
      </c>
      <c r="D302" s="991"/>
      <c r="E302" s="992"/>
      <c r="F302" s="923"/>
      <c r="G302" s="900"/>
      <c r="H302" s="859"/>
      <c r="I302" s="900"/>
      <c r="J302" s="900"/>
      <c r="K302" s="995"/>
    </row>
    <row r="303" spans="1:11">
      <c r="A303" s="701"/>
      <c r="B303" s="990"/>
      <c r="C303" s="660" t="s">
        <v>19</v>
      </c>
      <c r="D303" s="991"/>
      <c r="E303" s="992"/>
      <c r="F303" s="923"/>
      <c r="G303" s="900"/>
      <c r="H303" s="859"/>
      <c r="I303" s="900"/>
      <c r="J303" s="900"/>
      <c r="K303" s="995"/>
    </row>
    <row r="304" spans="1:11">
      <c r="A304" s="701"/>
      <c r="B304" s="990"/>
      <c r="C304" s="660" t="s">
        <v>19</v>
      </c>
      <c r="D304" s="991"/>
      <c r="E304" s="992"/>
      <c r="F304" s="923"/>
      <c r="G304" s="900"/>
      <c r="H304" s="859"/>
      <c r="I304" s="900"/>
      <c r="J304" s="900"/>
      <c r="K304" s="995"/>
    </row>
    <row r="305" spans="1:11">
      <c r="A305" s="701"/>
      <c r="B305" s="990"/>
      <c r="C305" s="660" t="s">
        <v>19</v>
      </c>
      <c r="D305" s="991"/>
      <c r="E305" s="992"/>
      <c r="F305" s="923"/>
      <c r="G305" s="900"/>
      <c r="H305" s="859"/>
      <c r="I305" s="900"/>
      <c r="J305" s="900"/>
      <c r="K305" s="995"/>
    </row>
    <row r="306" spans="1:11">
      <c r="A306" s="701"/>
      <c r="B306" s="990"/>
      <c r="C306" s="685" t="s">
        <v>32</v>
      </c>
      <c r="D306" s="991"/>
      <c r="E306" s="992"/>
      <c r="F306" s="923"/>
      <c r="G306" s="900"/>
      <c r="H306" s="859"/>
      <c r="I306" s="900"/>
      <c r="J306" s="900"/>
      <c r="K306" s="995"/>
    </row>
    <row r="307" spans="1:11">
      <c r="A307" s="660"/>
      <c r="B307" s="990"/>
      <c r="C307" s="685" t="s">
        <v>32</v>
      </c>
      <c r="D307" s="991"/>
      <c r="E307" s="992"/>
      <c r="F307" s="923"/>
      <c r="G307" s="900"/>
      <c r="H307" s="859"/>
      <c r="I307" s="900"/>
      <c r="J307" s="900"/>
      <c r="K307" s="995"/>
    </row>
    <row r="308" spans="1:11">
      <c r="A308" s="660"/>
      <c r="B308" s="990"/>
      <c r="C308" s="660"/>
      <c r="D308" s="885"/>
      <c r="E308" s="996"/>
      <c r="F308" s="847"/>
      <c r="G308" s="997"/>
      <c r="H308" s="994"/>
      <c r="I308" s="997"/>
      <c r="J308" s="997"/>
      <c r="K308" s="995"/>
    </row>
    <row r="309" spans="1:11">
      <c r="A309" s="660"/>
      <c r="B309" s="990"/>
      <c r="C309" s="660" t="s">
        <v>19</v>
      </c>
      <c r="D309" s="885"/>
      <c r="E309" s="992"/>
      <c r="F309" s="923"/>
      <c r="G309" s="900"/>
      <c r="H309" s="859"/>
      <c r="I309" s="900"/>
      <c r="J309" s="900"/>
      <c r="K309" s="995"/>
    </row>
    <row r="310" spans="1:11">
      <c r="A310" s="660"/>
      <c r="B310" s="990"/>
      <c r="C310" s="660" t="s">
        <v>19</v>
      </c>
      <c r="D310" s="885"/>
      <c r="E310" s="992"/>
      <c r="F310" s="923"/>
      <c r="G310" s="900"/>
      <c r="H310" s="859"/>
      <c r="I310" s="900"/>
      <c r="J310" s="900"/>
      <c r="K310" s="995"/>
    </row>
    <row r="311" spans="1:11">
      <c r="A311" s="660"/>
      <c r="B311" s="990"/>
      <c r="C311" s="660" t="s">
        <v>19</v>
      </c>
      <c r="D311" s="885"/>
      <c r="E311" s="992"/>
      <c r="F311" s="923"/>
      <c r="G311" s="900"/>
      <c r="H311" s="859"/>
      <c r="I311" s="900"/>
      <c r="J311" s="900"/>
      <c r="K311" s="995"/>
    </row>
    <row r="312" spans="1:11">
      <c r="A312" s="701"/>
      <c r="B312" s="990"/>
      <c r="C312" s="660" t="s">
        <v>19</v>
      </c>
      <c r="D312" s="991"/>
      <c r="E312" s="992"/>
      <c r="F312" s="923"/>
      <c r="G312" s="900"/>
      <c r="H312" s="859"/>
      <c r="I312" s="900"/>
      <c r="J312" s="900"/>
      <c r="K312" s="995"/>
    </row>
    <row r="313" spans="1:11">
      <c r="A313" s="701"/>
      <c r="B313" s="990"/>
      <c r="C313" s="660" t="s">
        <v>19</v>
      </c>
      <c r="D313" s="885"/>
      <c r="E313" s="992"/>
      <c r="F313" s="923"/>
      <c r="G313" s="900"/>
      <c r="H313" s="859"/>
      <c r="I313" s="900"/>
      <c r="J313" s="900"/>
      <c r="K313" s="995"/>
    </row>
    <row r="314" spans="1:11">
      <c r="A314" s="701"/>
      <c r="B314" s="990"/>
      <c r="C314" s="660" t="s">
        <v>19</v>
      </c>
      <c r="D314" s="885"/>
      <c r="E314" s="992"/>
      <c r="F314" s="923"/>
      <c r="G314" s="900"/>
      <c r="H314" s="859"/>
      <c r="I314" s="900"/>
      <c r="J314" s="900"/>
      <c r="K314" s="995"/>
    </row>
    <row r="315" spans="1:11">
      <c r="A315" s="701"/>
      <c r="B315" s="990"/>
      <c r="C315" s="660" t="s">
        <v>19</v>
      </c>
      <c r="D315" s="991"/>
      <c r="E315" s="992"/>
      <c r="F315" s="923"/>
      <c r="G315" s="900"/>
      <c r="H315" s="859"/>
      <c r="I315" s="900"/>
      <c r="J315" s="900"/>
      <c r="K315" s="995"/>
    </row>
    <row r="316" spans="1:11">
      <c r="A316" s="701"/>
      <c r="B316" s="990"/>
      <c r="C316" s="660" t="s">
        <v>19</v>
      </c>
      <c r="D316" s="991"/>
      <c r="E316" s="992"/>
      <c r="F316" s="923"/>
      <c r="G316" s="900"/>
      <c r="H316" s="859"/>
      <c r="I316" s="900"/>
      <c r="J316" s="900"/>
      <c r="K316" s="995"/>
    </row>
    <row r="317" spans="1:11">
      <c r="A317" s="701"/>
      <c r="B317" s="990"/>
      <c r="C317" s="660" t="s">
        <v>19</v>
      </c>
      <c r="D317" s="991"/>
      <c r="E317" s="992"/>
      <c r="F317" s="923"/>
      <c r="G317" s="900"/>
      <c r="H317" s="859"/>
      <c r="I317" s="900"/>
      <c r="J317" s="900"/>
      <c r="K317" s="995"/>
    </row>
    <row r="318" spans="1:11">
      <c r="A318" s="701"/>
      <c r="B318" s="990"/>
      <c r="C318" s="685" t="s">
        <v>32</v>
      </c>
      <c r="D318" s="885"/>
      <c r="E318" s="992"/>
      <c r="F318" s="923"/>
      <c r="G318" s="900"/>
      <c r="H318" s="859"/>
      <c r="I318" s="900"/>
      <c r="J318" s="900"/>
      <c r="K318" s="995"/>
    </row>
    <row r="319" spans="1:11">
      <c r="A319" s="660"/>
      <c r="B319" s="990"/>
      <c r="C319" s="685" t="s">
        <v>32</v>
      </c>
      <c r="D319" s="885"/>
      <c r="E319" s="992"/>
      <c r="F319" s="923"/>
      <c r="G319" s="900"/>
      <c r="H319" s="859"/>
      <c r="I319" s="900"/>
      <c r="J319" s="900"/>
      <c r="K319" s="995"/>
    </row>
    <row r="320" spans="1:11">
      <c r="A320" s="660"/>
      <c r="B320" s="990"/>
      <c r="C320" s="660"/>
      <c r="D320" s="885"/>
      <c r="E320" s="998"/>
      <c r="F320" s="999"/>
      <c r="G320" s="1000"/>
      <c r="H320" s="1001"/>
      <c r="I320" s="1000"/>
      <c r="J320" s="1000"/>
      <c r="K320" s="995"/>
    </row>
    <row r="321" spans="1:11">
      <c r="A321" s="660"/>
      <c r="B321" s="990"/>
      <c r="C321" s="685" t="s">
        <v>17</v>
      </c>
      <c r="D321" s="885"/>
      <c r="E321" s="996"/>
      <c r="F321" s="923"/>
      <c r="G321" s="900"/>
      <c r="H321" s="859"/>
      <c r="I321" s="900"/>
      <c r="J321" s="900"/>
      <c r="K321" s="995"/>
    </row>
    <row r="322" spans="1:11">
      <c r="A322" s="660"/>
      <c r="B322" s="990"/>
      <c r="C322" s="685" t="s">
        <v>17</v>
      </c>
      <c r="D322" s="991"/>
      <c r="E322" s="996"/>
      <c r="F322" s="923"/>
      <c r="G322" s="900"/>
      <c r="H322" s="859"/>
      <c r="I322" s="900"/>
      <c r="J322" s="900"/>
      <c r="K322" s="995"/>
    </row>
    <row r="323" spans="1:11">
      <c r="A323" s="660"/>
      <c r="B323" s="990"/>
      <c r="C323" s="685" t="s">
        <v>17</v>
      </c>
      <c r="D323" s="885"/>
      <c r="E323" s="996"/>
      <c r="F323" s="923"/>
      <c r="G323" s="900"/>
      <c r="H323" s="859"/>
      <c r="I323" s="900"/>
      <c r="J323" s="900"/>
      <c r="K323" s="995"/>
    </row>
    <row r="324" spans="1:11">
      <c r="A324" s="660"/>
      <c r="B324" s="990"/>
      <c r="C324" s="685" t="s">
        <v>17</v>
      </c>
      <c r="D324" s="991"/>
      <c r="E324" s="996"/>
      <c r="F324" s="923"/>
      <c r="G324" s="900"/>
      <c r="H324" s="859"/>
      <c r="I324" s="900"/>
      <c r="J324" s="900"/>
      <c r="K324" s="995"/>
    </row>
    <row r="325" spans="1:11">
      <c r="A325" s="660"/>
      <c r="B325" s="990"/>
      <c r="C325" s="685" t="s">
        <v>17</v>
      </c>
      <c r="D325" s="885"/>
      <c r="E325" s="996"/>
      <c r="F325" s="923"/>
      <c r="G325" s="900"/>
      <c r="H325" s="859"/>
      <c r="I325" s="900"/>
      <c r="J325" s="900"/>
      <c r="K325" s="995"/>
    </row>
    <row r="326" spans="1:11">
      <c r="A326" s="660"/>
      <c r="B326" s="990"/>
      <c r="C326" s="685" t="s">
        <v>17</v>
      </c>
      <c r="D326" s="885"/>
      <c r="E326" s="996"/>
      <c r="F326" s="923"/>
      <c r="G326" s="900"/>
      <c r="H326" s="859"/>
      <c r="I326" s="900"/>
      <c r="J326" s="900"/>
      <c r="K326" s="995"/>
    </row>
    <row r="327" spans="1:11">
      <c r="A327" s="660"/>
      <c r="B327" s="990"/>
      <c r="C327" s="685" t="s">
        <v>17</v>
      </c>
      <c r="D327" s="991"/>
      <c r="E327" s="996"/>
      <c r="F327" s="923"/>
      <c r="G327" s="900"/>
      <c r="H327" s="859"/>
      <c r="I327" s="900"/>
      <c r="J327" s="900"/>
      <c r="K327" s="995"/>
    </row>
    <row r="328" spans="1:11">
      <c r="A328" s="701"/>
      <c r="B328" s="990"/>
      <c r="C328" s="685" t="s">
        <v>17</v>
      </c>
      <c r="D328" s="991"/>
      <c r="E328" s="996"/>
      <c r="F328" s="923"/>
      <c r="G328" s="900"/>
      <c r="H328" s="859"/>
      <c r="I328" s="900"/>
      <c r="J328" s="900"/>
      <c r="K328" s="995"/>
    </row>
    <row r="329" spans="1:11">
      <c r="A329" s="701"/>
      <c r="B329" s="990"/>
      <c r="C329" s="1002" t="s">
        <v>17</v>
      </c>
      <c r="D329" s="1003"/>
      <c r="E329" s="1004"/>
      <c r="F329" s="923"/>
      <c r="G329" s="900"/>
      <c r="H329" s="859"/>
      <c r="I329" s="900"/>
      <c r="J329" s="900"/>
      <c r="K329" s="995"/>
    </row>
    <row r="330" spans="1:11">
      <c r="A330" s="660"/>
      <c r="B330" s="990"/>
      <c r="C330" s="660"/>
      <c r="D330" s="885"/>
      <c r="E330" s="998"/>
      <c r="F330" s="999"/>
      <c r="G330" s="1000"/>
      <c r="H330" s="1001"/>
      <c r="I330" s="1000"/>
      <c r="J330" s="1000"/>
      <c r="K330" s="995"/>
    </row>
    <row r="331" spans="1:11">
      <c r="A331" s="660"/>
      <c r="B331" s="990"/>
      <c r="C331" s="1002" t="s">
        <v>17</v>
      </c>
      <c r="D331" s="1003"/>
      <c r="E331" s="1005"/>
      <c r="F331" s="847"/>
      <c r="G331" s="993"/>
      <c r="H331" s="994"/>
      <c r="I331" s="993"/>
      <c r="J331" s="993"/>
      <c r="K331" s="787"/>
    </row>
    <row r="332" spans="1:11">
      <c r="A332" s="660"/>
      <c r="B332" s="990"/>
      <c r="C332" s="1002" t="s">
        <v>17</v>
      </c>
      <c r="D332" s="1003"/>
      <c r="E332" s="1005"/>
      <c r="F332" s="847"/>
      <c r="G332" s="993"/>
      <c r="H332" s="994"/>
      <c r="I332" s="993"/>
      <c r="J332" s="993"/>
      <c r="K332" s="787"/>
    </row>
    <row r="333" spans="1:11">
      <c r="A333" s="660"/>
      <c r="B333" s="990"/>
      <c r="C333" s="1002" t="s">
        <v>17</v>
      </c>
      <c r="D333" s="1003"/>
      <c r="E333" s="1005"/>
      <c r="F333" s="847"/>
      <c r="G333" s="993"/>
      <c r="H333" s="994"/>
      <c r="I333" s="993"/>
      <c r="J333" s="993"/>
      <c r="K333" s="787"/>
    </row>
    <row r="334" spans="1:11">
      <c r="A334" s="660"/>
      <c r="B334" s="990"/>
      <c r="C334" s="660"/>
      <c r="D334" s="885"/>
      <c r="E334" s="998"/>
      <c r="F334" s="999"/>
      <c r="G334" s="997"/>
      <c r="H334" s="994"/>
      <c r="I334" s="997"/>
      <c r="J334" s="997"/>
      <c r="K334" s="995"/>
    </row>
    <row r="335" spans="1:11">
      <c r="A335" s="660"/>
      <c r="B335" s="990"/>
      <c r="C335" s="685" t="s">
        <v>17</v>
      </c>
      <c r="D335" s="1003"/>
      <c r="E335" s="1005"/>
      <c r="F335" s="847"/>
      <c r="G335" s="993"/>
      <c r="H335" s="994"/>
      <c r="I335" s="993"/>
      <c r="J335" s="993"/>
      <c r="K335" s="995"/>
    </row>
    <row r="336" spans="1:11">
      <c r="A336" s="660"/>
      <c r="B336" s="990"/>
      <c r="C336" s="685" t="s">
        <v>17</v>
      </c>
      <c r="D336" s="1003"/>
      <c r="E336" s="1005"/>
      <c r="F336" s="847"/>
      <c r="G336" s="993"/>
      <c r="H336" s="994"/>
      <c r="I336" s="993"/>
      <c r="J336" s="993"/>
      <c r="K336" s="995"/>
    </row>
    <row r="337" spans="1:11">
      <c r="A337" s="660"/>
      <c r="B337" s="990"/>
      <c r="C337" s="685" t="s">
        <v>17</v>
      </c>
      <c r="D337" s="1003"/>
      <c r="E337" s="1005"/>
      <c r="F337" s="847"/>
      <c r="G337" s="993"/>
      <c r="H337" s="994"/>
      <c r="I337" s="993"/>
      <c r="J337" s="993"/>
      <c r="K337" s="995"/>
    </row>
    <row r="338" spans="1:11">
      <c r="A338" s="660"/>
      <c r="B338" s="990"/>
      <c r="C338" s="685" t="s">
        <v>17</v>
      </c>
      <c r="D338" s="1003"/>
      <c r="E338" s="1005"/>
      <c r="F338" s="847"/>
      <c r="G338" s="946"/>
      <c r="H338" s="994"/>
      <c r="I338" s="993"/>
      <c r="J338" s="993"/>
      <c r="K338" s="995"/>
    </row>
    <row r="339" spans="1:11">
      <c r="A339" s="660"/>
      <c r="B339" s="1006"/>
      <c r="C339" s="660"/>
      <c r="D339" s="885"/>
      <c r="E339" s="998"/>
      <c r="F339" s="999"/>
      <c r="G339" s="946"/>
      <c r="H339" s="994"/>
      <c r="I339" s="997"/>
      <c r="J339" s="997"/>
      <c r="K339" s="995"/>
    </row>
    <row r="340" spans="1:11">
      <c r="A340" s="660"/>
      <c r="B340" s="990"/>
      <c r="C340" s="1007" t="s">
        <v>17</v>
      </c>
      <c r="D340" s="1003"/>
      <c r="E340" s="1005"/>
      <c r="F340" s="999"/>
      <c r="G340" s="900"/>
      <c r="H340" s="859"/>
      <c r="I340" s="900"/>
      <c r="J340" s="900"/>
      <c r="K340" s="995"/>
    </row>
    <row r="341" spans="1:11">
      <c r="A341" s="660"/>
      <c r="B341" s="990"/>
      <c r="C341" s="660"/>
      <c r="D341" s="885"/>
      <c r="E341" s="998"/>
      <c r="F341" s="999"/>
      <c r="G341" s="997"/>
      <c r="H341" s="994"/>
      <c r="I341" s="997"/>
      <c r="J341" s="997"/>
      <c r="K341" s="995"/>
    </row>
    <row r="342" spans="1:11">
      <c r="A342" s="660"/>
      <c r="B342" s="990"/>
      <c r="C342" s="1007" t="s">
        <v>17</v>
      </c>
      <c r="D342" s="1003"/>
      <c r="E342" s="1005"/>
      <c r="F342" s="999"/>
      <c r="G342" s="900"/>
      <c r="H342" s="859"/>
      <c r="I342" s="900"/>
      <c r="J342" s="900"/>
      <c r="K342" s="995"/>
    </row>
    <row r="343" spans="1:11">
      <c r="A343" s="660"/>
      <c r="B343" s="990"/>
      <c r="C343" s="1007" t="s">
        <v>17</v>
      </c>
      <c r="D343" s="1003"/>
      <c r="E343" s="1005"/>
      <c r="F343" s="999"/>
      <c r="G343" s="900"/>
      <c r="H343" s="859"/>
      <c r="I343" s="900"/>
      <c r="J343" s="900"/>
      <c r="K343" s="995"/>
    </row>
    <row r="344" spans="1:11">
      <c r="A344" s="660"/>
      <c r="B344" s="990"/>
      <c r="C344" s="1007"/>
      <c r="D344" s="1000"/>
      <c r="E344" s="998"/>
      <c r="F344" s="999"/>
      <c r="G344" s="997"/>
      <c r="H344" s="994"/>
      <c r="I344" s="997"/>
      <c r="J344" s="997"/>
      <c r="K344" s="995"/>
    </row>
    <row r="345" spans="1:11">
      <c r="A345" s="660"/>
      <c r="B345" s="1008"/>
      <c r="C345" s="1007" t="s">
        <v>17</v>
      </c>
      <c r="D345" s="1000"/>
      <c r="E345" s="1005"/>
      <c r="F345" s="999"/>
      <c r="G345" s="900"/>
      <c r="H345" s="994"/>
      <c r="I345" s="900"/>
      <c r="J345" s="900"/>
      <c r="K345" s="995"/>
    </row>
    <row r="346" spans="1:11">
      <c r="A346" s="660"/>
      <c r="B346" s="1008"/>
      <c r="C346" s="1007" t="s">
        <v>17</v>
      </c>
      <c r="D346" s="1003"/>
      <c r="E346" s="1005"/>
      <c r="F346" s="999"/>
      <c r="G346" s="900"/>
      <c r="H346" s="924"/>
      <c r="I346" s="900"/>
      <c r="J346" s="900"/>
      <c r="K346" s="995"/>
    </row>
    <row r="347" spans="1:11">
      <c r="A347" s="660"/>
      <c r="B347" s="990"/>
      <c r="C347" s="1007"/>
      <c r="D347" s="1000"/>
      <c r="E347" s="998"/>
      <c r="F347" s="999"/>
      <c r="G347" s="997"/>
      <c r="H347" s="994"/>
      <c r="I347" s="997"/>
      <c r="J347" s="997"/>
      <c r="K347" s="995"/>
    </row>
    <row r="348" spans="1:11">
      <c r="A348" s="660"/>
      <c r="B348" s="990"/>
      <c r="C348" s="1007" t="s">
        <v>17</v>
      </c>
      <c r="D348" s="1003"/>
      <c r="E348" s="1005"/>
      <c r="F348" s="999"/>
      <c r="G348" s="900"/>
      <c r="H348" s="924"/>
      <c r="I348" s="900"/>
      <c r="J348" s="900"/>
      <c r="K348" s="995"/>
    </row>
    <row r="349" spans="1:11">
      <c r="A349" s="660"/>
      <c r="B349" s="990"/>
      <c r="C349" s="660"/>
      <c r="D349" s="885"/>
      <c r="E349" s="996"/>
      <c r="F349" s="847"/>
      <c r="G349" s="997"/>
      <c r="H349" s="994"/>
      <c r="I349" s="997"/>
      <c r="J349" s="997"/>
      <c r="K349" s="995"/>
    </row>
    <row r="350" spans="1:11">
      <c r="A350" s="660"/>
      <c r="B350" s="990"/>
      <c r="C350" s="660"/>
      <c r="D350" s="885"/>
      <c r="E350" s="996"/>
      <c r="F350" s="847"/>
      <c r="G350" s="997"/>
      <c r="H350" s="994"/>
      <c r="I350" s="997"/>
      <c r="J350" s="997"/>
      <c r="K350" s="995"/>
    </row>
    <row r="351" spans="1:11">
      <c r="A351" s="660"/>
      <c r="B351" s="990"/>
      <c r="C351" s="1009"/>
      <c r="D351" s="1000"/>
      <c r="E351" s="998"/>
      <c r="F351" s="999"/>
      <c r="G351" s="997"/>
      <c r="H351" s="994"/>
      <c r="I351" s="997"/>
      <c r="J351" s="997"/>
      <c r="K351" s="995"/>
    </row>
    <row r="352" spans="1:11" s="1010" customFormat="1">
      <c r="A352" s="660"/>
      <c r="B352" s="990"/>
      <c r="C352" s="898" t="s">
        <v>17</v>
      </c>
      <c r="D352" s="1003"/>
      <c r="E352" s="1005"/>
      <c r="F352" s="999"/>
      <c r="G352" s="900"/>
      <c r="H352" s="924"/>
      <c r="I352" s="900"/>
      <c r="J352" s="900"/>
      <c r="K352" s="995"/>
    </row>
    <row r="353" spans="1:11" s="1010" customFormat="1">
      <c r="A353" s="660"/>
      <c r="B353" s="990"/>
      <c r="C353" s="898" t="s">
        <v>17</v>
      </c>
      <c r="D353" s="1003"/>
      <c r="E353" s="1005"/>
      <c r="F353" s="999"/>
      <c r="G353" s="900"/>
      <c r="H353" s="924"/>
      <c r="I353" s="900"/>
      <c r="J353" s="900"/>
      <c r="K353" s="995"/>
    </row>
    <row r="354" spans="1:11" s="1010" customFormat="1">
      <c r="A354" s="660"/>
      <c r="B354" s="990"/>
      <c r="C354" s="898" t="s">
        <v>17</v>
      </c>
      <c r="D354" s="1003"/>
      <c r="E354" s="1005"/>
      <c r="F354" s="999"/>
      <c r="G354" s="900"/>
      <c r="H354" s="924"/>
      <c r="I354" s="900"/>
      <c r="J354" s="900"/>
      <c r="K354" s="995"/>
    </row>
    <row r="355" spans="1:11" s="1010" customFormat="1">
      <c r="A355" s="660"/>
      <c r="B355" s="990"/>
      <c r="C355" s="898" t="s">
        <v>17</v>
      </c>
      <c r="D355" s="1003"/>
      <c r="E355" s="1005"/>
      <c r="F355" s="999"/>
      <c r="G355" s="900"/>
      <c r="H355" s="924"/>
      <c r="I355" s="900"/>
      <c r="J355" s="900"/>
      <c r="K355" s="995"/>
    </row>
    <row r="356" spans="1:11" s="1010" customFormat="1">
      <c r="A356" s="949"/>
      <c r="B356" s="1011"/>
      <c r="C356" s="1012" t="s">
        <v>17</v>
      </c>
      <c r="D356" s="1003"/>
      <c r="E356" s="1013"/>
      <c r="F356" s="847"/>
      <c r="G356" s="946"/>
      <c r="H356" s="994"/>
      <c r="I356" s="946"/>
      <c r="J356" s="946"/>
      <c r="K356" s="995"/>
    </row>
    <row r="357" spans="1:11" s="1010" customFormat="1">
      <c r="A357" s="949"/>
      <c r="B357" s="1011"/>
      <c r="C357" s="949" t="s">
        <v>32</v>
      </c>
      <c r="D357" s="1003"/>
      <c r="E357" s="949"/>
      <c r="F357" s="847"/>
      <c r="G357" s="900"/>
      <c r="H357" s="994"/>
      <c r="I357" s="900"/>
      <c r="J357" s="900"/>
      <c r="K357" s="995"/>
    </row>
    <row r="358" spans="1:11" s="1010" customFormat="1">
      <c r="A358" s="949"/>
      <c r="B358" s="1014"/>
      <c r="C358" s="1015"/>
      <c r="D358" s="665"/>
      <c r="E358" s="1016"/>
      <c r="F358" s="923"/>
      <c r="G358" s="1017"/>
      <c r="H358" s="924"/>
      <c r="I358" s="1018"/>
      <c r="J358" s="1019"/>
      <c r="K358" s="957"/>
    </row>
    <row r="359" spans="1:11" s="1010" customFormat="1">
      <c r="A359" s="949"/>
      <c r="B359" s="1020"/>
      <c r="C359" s="1016"/>
      <c r="D359" s="847"/>
      <c r="E359" s="949"/>
      <c r="F359" s="847"/>
      <c r="G359" s="946"/>
      <c r="H359" s="994"/>
      <c r="I359" s="946"/>
      <c r="J359" s="946"/>
      <c r="K359" s="995"/>
    </row>
    <row r="360" spans="1:11" s="1010" customFormat="1">
      <c r="A360" s="949"/>
      <c r="B360" s="1011"/>
      <c r="C360" s="1012" t="s">
        <v>17</v>
      </c>
      <c r="D360" s="1003"/>
      <c r="E360" s="1013"/>
      <c r="F360" s="999"/>
      <c r="G360" s="900"/>
      <c r="H360" s="994"/>
      <c r="I360" s="900"/>
      <c r="J360" s="900"/>
      <c r="K360" s="995"/>
    </row>
    <row r="361" spans="1:11" s="1010" customFormat="1">
      <c r="A361" s="949"/>
      <c r="B361" s="1011"/>
      <c r="C361" s="1012" t="s">
        <v>17</v>
      </c>
      <c r="D361" s="999"/>
      <c r="E361" s="1013"/>
      <c r="F361" s="999"/>
      <c r="G361" s="900"/>
      <c r="H361" s="994"/>
      <c r="I361" s="900"/>
      <c r="J361" s="900"/>
      <c r="K361" s="995"/>
    </row>
    <row r="362" spans="1:11" s="1010" customFormat="1">
      <c r="A362" s="949"/>
      <c r="B362" s="1011"/>
      <c r="C362" s="1012" t="s">
        <v>17</v>
      </c>
      <c r="D362" s="1003"/>
      <c r="E362" s="1013"/>
      <c r="F362" s="999"/>
      <c r="G362" s="900"/>
      <c r="H362" s="994"/>
      <c r="I362" s="900"/>
      <c r="J362" s="900"/>
      <c r="K362" s="995"/>
    </row>
    <row r="363" spans="1:11" s="1010" customFormat="1">
      <c r="A363" s="949"/>
      <c r="B363" s="1020"/>
      <c r="C363" s="1012" t="s">
        <v>17</v>
      </c>
      <c r="D363" s="1003"/>
      <c r="E363" s="1013"/>
      <c r="F363" s="999"/>
      <c r="G363" s="900"/>
      <c r="H363" s="994"/>
      <c r="I363" s="900"/>
      <c r="J363" s="900"/>
      <c r="K363" s="995"/>
    </row>
    <row r="364" spans="1:11" s="1010" customFormat="1">
      <c r="A364" s="949"/>
      <c r="B364" s="1020"/>
      <c r="C364" s="1016"/>
      <c r="D364" s="847"/>
      <c r="E364" s="949"/>
      <c r="F364" s="847"/>
      <c r="G364" s="946"/>
      <c r="H364" s="994"/>
      <c r="I364" s="946"/>
      <c r="J364" s="946"/>
      <c r="K364" s="995"/>
    </row>
    <row r="365" spans="1:11" s="1010" customFormat="1">
      <c r="A365" s="949"/>
      <c r="B365" s="1011"/>
      <c r="C365" s="1012" t="s">
        <v>17</v>
      </c>
      <c r="D365" s="1003"/>
      <c r="E365" s="1013"/>
      <c r="F365" s="999"/>
      <c r="G365" s="900"/>
      <c r="H365" s="994"/>
      <c r="I365" s="900"/>
      <c r="J365" s="900"/>
      <c r="K365" s="995"/>
    </row>
    <row r="366" spans="1:11" s="1010" customFormat="1">
      <c r="A366" s="949"/>
      <c r="B366" s="1020"/>
      <c r="C366" s="1016"/>
      <c r="D366" s="847"/>
      <c r="E366" s="949"/>
      <c r="F366" s="847"/>
      <c r="G366" s="946"/>
      <c r="H366" s="994"/>
      <c r="I366" s="946"/>
      <c r="J366" s="946"/>
      <c r="K366" s="995"/>
    </row>
    <row r="367" spans="1:11" s="1010" customFormat="1">
      <c r="A367" s="949"/>
      <c r="B367" s="1011"/>
      <c r="C367" s="1012" t="s">
        <v>17</v>
      </c>
      <c r="D367" s="1003"/>
      <c r="E367" s="1013"/>
      <c r="F367" s="999"/>
      <c r="G367" s="900"/>
      <c r="H367" s="994"/>
      <c r="I367" s="900"/>
      <c r="J367" s="900"/>
      <c r="K367" s="995"/>
    </row>
    <row r="368" spans="1:11" s="1010" customFormat="1">
      <c r="A368" s="949"/>
      <c r="B368" s="1011"/>
      <c r="C368" s="1012" t="s">
        <v>17</v>
      </c>
      <c r="D368" s="999"/>
      <c r="E368" s="1013"/>
      <c r="F368" s="999"/>
      <c r="G368" s="900"/>
      <c r="H368" s="994"/>
      <c r="I368" s="900"/>
      <c r="J368" s="900"/>
      <c r="K368" s="995"/>
    </row>
    <row r="369" spans="1:11">
      <c r="A369" s="949"/>
      <c r="B369" s="1011"/>
      <c r="C369" s="1012" t="s">
        <v>17</v>
      </c>
      <c r="D369" s="1003"/>
      <c r="E369" s="1013"/>
      <c r="F369" s="999"/>
      <c r="G369" s="900"/>
      <c r="H369" s="994"/>
      <c r="I369" s="900"/>
      <c r="J369" s="900"/>
      <c r="K369" s="995"/>
    </row>
    <row r="370" spans="1:11">
      <c r="A370" s="949"/>
      <c r="B370" s="1011"/>
      <c r="C370" s="1012"/>
      <c r="D370" s="1003"/>
      <c r="E370" s="1013"/>
      <c r="F370" s="999"/>
      <c r="G370" s="900"/>
      <c r="H370" s="994"/>
      <c r="I370" s="900"/>
      <c r="J370" s="900"/>
      <c r="K370" s="995"/>
    </row>
    <row r="371" spans="1:11">
      <c r="A371" s="1021"/>
      <c r="B371" s="1022"/>
      <c r="C371" s="1023"/>
      <c r="D371" s="1024"/>
      <c r="E371" s="1023"/>
      <c r="F371" s="1024"/>
      <c r="G371" s="1025"/>
      <c r="H371" s="988"/>
      <c r="I371" s="1025"/>
      <c r="J371" s="1026"/>
      <c r="K371" s="989"/>
    </row>
    <row r="372" spans="1:11">
      <c r="A372" s="1027"/>
      <c r="B372" s="1028"/>
      <c r="C372" s="1029"/>
      <c r="D372" s="1030"/>
      <c r="E372" s="1027"/>
      <c r="F372" s="979"/>
      <c r="G372" s="1031"/>
      <c r="H372" s="981"/>
      <c r="I372" s="1031"/>
      <c r="J372" s="1029"/>
      <c r="K372" s="982"/>
    </row>
    <row r="373" spans="1:11">
      <c r="A373" s="646"/>
      <c r="B373" s="1032"/>
      <c r="C373" s="1033"/>
      <c r="D373" s="1034"/>
      <c r="E373" s="1035"/>
      <c r="F373" s="979"/>
      <c r="G373" s="1036"/>
      <c r="H373" s="981"/>
      <c r="I373" s="1036"/>
      <c r="J373" s="1036"/>
      <c r="K373" s="982"/>
    </row>
    <row r="374" spans="1:11">
      <c r="A374" s="757"/>
      <c r="B374" s="1037"/>
      <c r="C374" s="1038"/>
      <c r="D374" s="1039"/>
      <c r="E374" s="1040"/>
      <c r="F374" s="986"/>
      <c r="G374" s="1041"/>
      <c r="H374" s="988"/>
      <c r="I374" s="1041"/>
      <c r="J374" s="1041"/>
      <c r="K374" s="989"/>
    </row>
    <row r="375" spans="1:11">
      <c r="A375" s="660"/>
      <c r="B375" s="990"/>
      <c r="C375" s="660" t="s">
        <v>19</v>
      </c>
      <c r="D375" s="885"/>
      <c r="E375" s="998"/>
      <c r="F375" s="999"/>
      <c r="G375" s="900"/>
      <c r="H375" s="994"/>
      <c r="I375" s="900"/>
      <c r="J375" s="900"/>
      <c r="K375" s="995"/>
    </row>
    <row r="376" spans="1:11">
      <c r="A376" s="660"/>
      <c r="B376" s="990"/>
      <c r="C376" s="660" t="s">
        <v>19</v>
      </c>
      <c r="D376" s="1003"/>
      <c r="E376" s="998"/>
      <c r="F376" s="999"/>
      <c r="G376" s="900"/>
      <c r="H376" s="994"/>
      <c r="I376" s="900"/>
      <c r="J376" s="900"/>
      <c r="K376" s="995"/>
    </row>
    <row r="377" spans="1:11">
      <c r="A377" s="660"/>
      <c r="B377" s="990"/>
      <c r="C377" s="660" t="s">
        <v>19</v>
      </c>
      <c r="D377" s="885"/>
      <c r="E377" s="998"/>
      <c r="F377" s="999"/>
      <c r="G377" s="900"/>
      <c r="H377" s="994"/>
      <c r="I377" s="900"/>
      <c r="J377" s="900"/>
      <c r="K377" s="995"/>
    </row>
    <row r="378" spans="1:11">
      <c r="A378" s="660"/>
      <c r="B378" s="990"/>
      <c r="C378" s="660" t="s">
        <v>19</v>
      </c>
      <c r="D378" s="885"/>
      <c r="E378" s="998"/>
      <c r="F378" s="999"/>
      <c r="G378" s="900"/>
      <c r="H378" s="994"/>
      <c r="I378" s="900"/>
      <c r="J378" s="900"/>
      <c r="K378" s="995"/>
    </row>
    <row r="379" spans="1:11">
      <c r="A379" s="660"/>
      <c r="B379" s="990"/>
      <c r="C379" s="660" t="s">
        <v>19</v>
      </c>
      <c r="D379" s="1003"/>
      <c r="E379" s="998"/>
      <c r="F379" s="999"/>
      <c r="G379" s="900"/>
      <c r="H379" s="994"/>
      <c r="I379" s="900"/>
      <c r="J379" s="900"/>
      <c r="K379" s="995"/>
    </row>
    <row r="380" spans="1:11">
      <c r="A380" s="660"/>
      <c r="B380" s="990"/>
      <c r="C380" s="685" t="s">
        <v>32</v>
      </c>
      <c r="D380" s="885"/>
      <c r="E380" s="996"/>
      <c r="F380" s="999"/>
      <c r="G380" s="900"/>
      <c r="H380" s="994"/>
      <c r="I380" s="900"/>
      <c r="J380" s="900"/>
      <c r="K380" s="995"/>
    </row>
    <row r="381" spans="1:11">
      <c r="A381" s="660"/>
      <c r="B381" s="990"/>
      <c r="C381" s="685" t="s">
        <v>32</v>
      </c>
      <c r="D381" s="885"/>
      <c r="E381" s="996"/>
      <c r="F381" s="999"/>
      <c r="G381" s="900"/>
      <c r="H381" s="994"/>
      <c r="I381" s="900"/>
      <c r="J381" s="900"/>
      <c r="K381" s="995"/>
    </row>
    <row r="382" spans="1:11">
      <c r="A382" s="660"/>
      <c r="B382" s="1042"/>
      <c r="C382" s="898"/>
      <c r="D382" s="885"/>
      <c r="E382" s="996"/>
      <c r="F382" s="847"/>
      <c r="G382" s="997"/>
      <c r="H382" s="994"/>
      <c r="I382" s="997"/>
      <c r="J382" s="997"/>
      <c r="K382" s="995"/>
    </row>
    <row r="383" spans="1:11">
      <c r="A383" s="660"/>
      <c r="B383" s="990"/>
      <c r="C383" s="660" t="s">
        <v>19</v>
      </c>
      <c r="D383" s="1003"/>
      <c r="E383" s="998"/>
      <c r="F383" s="847"/>
      <c r="G383" s="993"/>
      <c r="H383" s="994"/>
      <c r="I383" s="900"/>
      <c r="J383" s="900"/>
      <c r="K383" s="995"/>
    </row>
    <row r="384" spans="1:11">
      <c r="A384" s="660"/>
      <c r="B384" s="990"/>
      <c r="C384" s="660" t="s">
        <v>19</v>
      </c>
      <c r="D384" s="1003"/>
      <c r="E384" s="998"/>
      <c r="F384" s="999"/>
      <c r="G384" s="900"/>
      <c r="H384" s="994"/>
      <c r="I384" s="900"/>
      <c r="J384" s="900"/>
      <c r="K384" s="995"/>
    </row>
    <row r="385" spans="1:11">
      <c r="A385" s="660"/>
      <c r="B385" s="990"/>
      <c r="C385" s="660" t="s">
        <v>19</v>
      </c>
      <c r="D385" s="1003"/>
      <c r="E385" s="998"/>
      <c r="F385" s="999"/>
      <c r="G385" s="900"/>
      <c r="H385" s="994"/>
      <c r="I385" s="900"/>
      <c r="J385" s="900"/>
      <c r="K385" s="995"/>
    </row>
    <row r="386" spans="1:11">
      <c r="A386" s="660"/>
      <c r="B386" s="990"/>
      <c r="C386" s="660" t="s">
        <v>19</v>
      </c>
      <c r="D386" s="885"/>
      <c r="E386" s="998"/>
      <c r="F386" s="999"/>
      <c r="G386" s="900"/>
      <c r="H386" s="994"/>
      <c r="I386" s="900"/>
      <c r="J386" s="900"/>
      <c r="K386" s="995"/>
    </row>
    <row r="387" spans="1:11">
      <c r="A387" s="660"/>
      <c r="B387" s="990"/>
      <c r="C387" s="660" t="s">
        <v>19</v>
      </c>
      <c r="D387" s="1003"/>
      <c r="E387" s="998"/>
      <c r="F387" s="999"/>
      <c r="G387" s="900"/>
      <c r="H387" s="994"/>
      <c r="I387" s="900"/>
      <c r="J387" s="900"/>
      <c r="K387" s="995"/>
    </row>
    <row r="388" spans="1:11">
      <c r="A388" s="660"/>
      <c r="B388" s="990"/>
      <c r="C388" s="660" t="s">
        <v>19</v>
      </c>
      <c r="D388" s="1003"/>
      <c r="E388" s="998"/>
      <c r="F388" s="999"/>
      <c r="G388" s="900"/>
      <c r="H388" s="994"/>
      <c r="I388" s="900"/>
      <c r="J388" s="900"/>
      <c r="K388" s="995"/>
    </row>
    <row r="389" spans="1:11">
      <c r="A389" s="660"/>
      <c r="B389" s="990"/>
      <c r="C389" s="685" t="s">
        <v>32</v>
      </c>
      <c r="D389" s="885"/>
      <c r="E389" s="996"/>
      <c r="F389" s="999"/>
      <c r="G389" s="900"/>
      <c r="H389" s="994"/>
      <c r="I389" s="900"/>
      <c r="J389" s="900"/>
      <c r="K389" s="995"/>
    </row>
    <row r="390" spans="1:11">
      <c r="A390" s="660"/>
      <c r="B390" s="990"/>
      <c r="C390" s="685" t="s">
        <v>32</v>
      </c>
      <c r="D390" s="885"/>
      <c r="E390" s="996"/>
      <c r="F390" s="999"/>
      <c r="G390" s="900"/>
      <c r="H390" s="994"/>
      <c r="I390" s="900"/>
      <c r="J390" s="900"/>
      <c r="K390" s="995"/>
    </row>
    <row r="391" spans="1:11">
      <c r="A391" s="660"/>
      <c r="B391" s="1042"/>
      <c r="C391" s="685"/>
      <c r="D391" s="885"/>
      <c r="E391" s="996"/>
      <c r="F391" s="847"/>
      <c r="G391" s="997"/>
      <c r="H391" s="994"/>
      <c r="I391" s="997"/>
      <c r="J391" s="997"/>
      <c r="K391" s="995"/>
    </row>
    <row r="392" spans="1:11">
      <c r="A392" s="660"/>
      <c r="B392" s="990"/>
      <c r="C392" s="660" t="s">
        <v>19</v>
      </c>
      <c r="D392" s="1003"/>
      <c r="E392" s="998"/>
      <c r="F392" s="999"/>
      <c r="G392" s="900"/>
      <c r="H392" s="994"/>
      <c r="I392" s="900"/>
      <c r="J392" s="900"/>
      <c r="K392" s="995"/>
    </row>
    <row r="393" spans="1:11">
      <c r="A393" s="660"/>
      <c r="B393" s="990"/>
      <c r="C393" s="660" t="s">
        <v>19</v>
      </c>
      <c r="D393" s="1003"/>
      <c r="E393" s="998"/>
      <c r="F393" s="999"/>
      <c r="G393" s="900"/>
      <c r="H393" s="994"/>
      <c r="I393" s="900"/>
      <c r="J393" s="900"/>
      <c r="K393" s="995"/>
    </row>
    <row r="394" spans="1:11">
      <c r="A394" s="660"/>
      <c r="B394" s="990"/>
      <c r="C394" s="660" t="s">
        <v>19</v>
      </c>
      <c r="D394" s="885"/>
      <c r="E394" s="998"/>
      <c r="F394" s="999"/>
      <c r="G394" s="900"/>
      <c r="H394" s="994"/>
      <c r="I394" s="900"/>
      <c r="J394" s="900"/>
      <c r="K394" s="995"/>
    </row>
    <row r="395" spans="1:11">
      <c r="A395" s="660"/>
      <c r="B395" s="990"/>
      <c r="C395" s="660" t="s">
        <v>19</v>
      </c>
      <c r="D395" s="1003"/>
      <c r="E395" s="998"/>
      <c r="F395" s="999"/>
      <c r="G395" s="900"/>
      <c r="H395" s="994"/>
      <c r="I395" s="900"/>
      <c r="J395" s="900"/>
      <c r="K395" s="995"/>
    </row>
    <row r="396" spans="1:11">
      <c r="A396" s="660"/>
      <c r="B396" s="990"/>
      <c r="C396" s="660" t="s">
        <v>19</v>
      </c>
      <c r="D396" s="1003"/>
      <c r="E396" s="998"/>
      <c r="F396" s="999"/>
      <c r="G396" s="900"/>
      <c r="H396" s="994"/>
      <c r="I396" s="900"/>
      <c r="J396" s="900"/>
      <c r="K396" s="995"/>
    </row>
    <row r="397" spans="1:11">
      <c r="A397" s="660"/>
      <c r="B397" s="990"/>
      <c r="C397" s="660" t="s">
        <v>19</v>
      </c>
      <c r="D397" s="1003"/>
      <c r="E397" s="998"/>
      <c r="F397" s="999"/>
      <c r="G397" s="900"/>
      <c r="H397" s="994"/>
      <c r="I397" s="900"/>
      <c r="J397" s="900"/>
      <c r="K397" s="995"/>
    </row>
    <row r="398" spans="1:11">
      <c r="A398" s="660"/>
      <c r="B398" s="990"/>
      <c r="C398" s="685" t="s">
        <v>32</v>
      </c>
      <c r="D398" s="885"/>
      <c r="E398" s="996"/>
      <c r="F398" s="999"/>
      <c r="G398" s="900"/>
      <c r="H398" s="994"/>
      <c r="I398" s="900"/>
      <c r="J398" s="900"/>
      <c r="K398" s="995"/>
    </row>
    <row r="399" spans="1:11">
      <c r="A399" s="660"/>
      <c r="B399" s="990"/>
      <c r="C399" s="685" t="s">
        <v>32</v>
      </c>
      <c r="D399" s="885"/>
      <c r="E399" s="996"/>
      <c r="F399" s="999"/>
      <c r="G399" s="900"/>
      <c r="H399" s="994"/>
      <c r="I399" s="900"/>
      <c r="J399" s="900"/>
      <c r="K399" s="995"/>
    </row>
    <row r="400" spans="1:11">
      <c r="A400" s="660"/>
      <c r="B400" s="1042"/>
      <c r="C400" s="660"/>
      <c r="D400" s="885"/>
      <c r="E400" s="996"/>
      <c r="F400" s="847"/>
      <c r="G400" s="997"/>
      <c r="H400" s="994"/>
      <c r="I400" s="997"/>
      <c r="J400" s="997"/>
      <c r="K400" s="995"/>
    </row>
    <row r="401" spans="1:11">
      <c r="A401" s="660"/>
      <c r="B401" s="990"/>
      <c r="C401" s="660" t="s">
        <v>17</v>
      </c>
      <c r="D401" s="885"/>
      <c r="E401" s="996"/>
      <c r="F401" s="999"/>
      <c r="G401" s="900"/>
      <c r="H401" s="994"/>
      <c r="I401" s="900"/>
      <c r="J401" s="900"/>
      <c r="K401" s="995"/>
    </row>
    <row r="402" spans="1:11">
      <c r="A402" s="660"/>
      <c r="B402" s="990"/>
      <c r="C402" s="660" t="s">
        <v>17</v>
      </c>
      <c r="D402" s="1003"/>
      <c r="E402" s="996"/>
      <c r="F402" s="999"/>
      <c r="G402" s="900"/>
      <c r="H402" s="994"/>
      <c r="I402" s="900"/>
      <c r="J402" s="900"/>
      <c r="K402" s="995"/>
    </row>
    <row r="403" spans="1:11">
      <c r="A403" s="660"/>
      <c r="B403" s="990"/>
      <c r="C403" s="660" t="s">
        <v>17</v>
      </c>
      <c r="D403" s="1003"/>
      <c r="E403" s="996"/>
      <c r="F403" s="999"/>
      <c r="G403" s="900"/>
      <c r="H403" s="994"/>
      <c r="I403" s="900"/>
      <c r="J403" s="900"/>
      <c r="K403" s="995"/>
    </row>
    <row r="404" spans="1:11">
      <c r="A404" s="660"/>
      <c r="B404" s="1042"/>
      <c r="C404" s="660"/>
      <c r="D404" s="885"/>
      <c r="E404" s="996"/>
      <c r="F404" s="847"/>
      <c r="G404" s="997"/>
      <c r="H404" s="994"/>
      <c r="I404" s="997"/>
      <c r="J404" s="997"/>
      <c r="K404" s="995"/>
    </row>
    <row r="405" spans="1:11">
      <c r="A405" s="701"/>
      <c r="B405" s="990"/>
      <c r="C405" s="660" t="s">
        <v>17</v>
      </c>
      <c r="D405" s="1003"/>
      <c r="E405" s="996"/>
      <c r="F405" s="999"/>
      <c r="G405" s="900"/>
      <c r="H405" s="994"/>
      <c r="I405" s="900"/>
      <c r="J405" s="900"/>
      <c r="K405" s="995"/>
    </row>
    <row r="406" spans="1:11">
      <c r="A406" s="701"/>
      <c r="B406" s="990"/>
      <c r="C406" s="660" t="s">
        <v>17</v>
      </c>
      <c r="D406" s="1003"/>
      <c r="E406" s="996"/>
      <c r="F406" s="999"/>
      <c r="G406" s="900"/>
      <c r="H406" s="994"/>
      <c r="I406" s="900"/>
      <c r="J406" s="900"/>
      <c r="K406" s="995"/>
    </row>
    <row r="407" spans="1:11">
      <c r="A407" s="701"/>
      <c r="B407" s="990"/>
      <c r="C407" s="660" t="s">
        <v>17</v>
      </c>
      <c r="D407" s="1003"/>
      <c r="E407" s="996"/>
      <c r="F407" s="999"/>
      <c r="G407" s="900"/>
      <c r="H407" s="994"/>
      <c r="I407" s="900"/>
      <c r="J407" s="900"/>
      <c r="K407" s="995"/>
    </row>
    <row r="408" spans="1:11">
      <c r="A408" s="701"/>
      <c r="B408" s="990"/>
      <c r="C408" s="660" t="s">
        <v>17</v>
      </c>
      <c r="D408" s="1003"/>
      <c r="E408" s="996"/>
      <c r="F408" s="999"/>
      <c r="G408" s="900"/>
      <c r="H408" s="994"/>
      <c r="I408" s="900"/>
      <c r="J408" s="900"/>
      <c r="K408" s="995"/>
    </row>
    <row r="409" spans="1:11">
      <c r="A409" s="660"/>
      <c r="B409" s="1042"/>
      <c r="C409" s="685"/>
      <c r="D409" s="885"/>
      <c r="E409" s="996"/>
      <c r="F409" s="847"/>
      <c r="G409" s="997"/>
      <c r="H409" s="994"/>
      <c r="I409" s="997"/>
      <c r="J409" s="997"/>
      <c r="K409" s="995"/>
    </row>
    <row r="410" spans="1:11">
      <c r="A410" s="660"/>
      <c r="B410" s="990"/>
      <c r="C410" s="660" t="s">
        <v>17</v>
      </c>
      <c r="D410" s="1003"/>
      <c r="E410" s="996"/>
      <c r="F410" s="999"/>
      <c r="G410" s="900"/>
      <c r="H410" s="994"/>
      <c r="I410" s="900"/>
      <c r="J410" s="900"/>
      <c r="K410" s="995"/>
    </row>
    <row r="411" spans="1:11">
      <c r="A411" s="701"/>
      <c r="B411" s="990"/>
      <c r="C411" s="660" t="s">
        <v>17</v>
      </c>
      <c r="D411" s="1003"/>
      <c r="E411" s="996"/>
      <c r="F411" s="999"/>
      <c r="G411" s="900"/>
      <c r="H411" s="994"/>
      <c r="I411" s="900"/>
      <c r="J411" s="900"/>
      <c r="K411" s="995"/>
    </row>
    <row r="412" spans="1:11">
      <c r="A412" s="701"/>
      <c r="B412" s="990"/>
      <c r="C412" s="660" t="s">
        <v>17</v>
      </c>
      <c r="D412" s="1003"/>
      <c r="E412" s="996"/>
      <c r="F412" s="999"/>
      <c r="G412" s="900"/>
      <c r="H412" s="994"/>
      <c r="I412" s="900"/>
      <c r="J412" s="900"/>
      <c r="K412" s="995"/>
    </row>
    <row r="413" spans="1:11">
      <c r="A413" s="701"/>
      <c r="B413" s="990"/>
      <c r="C413" s="660" t="s">
        <v>17</v>
      </c>
      <c r="D413" s="1003"/>
      <c r="E413" s="996"/>
      <c r="F413" s="999"/>
      <c r="G413" s="900"/>
      <c r="H413" s="994"/>
      <c r="I413" s="900"/>
      <c r="J413" s="900"/>
      <c r="K413" s="995"/>
    </row>
    <row r="414" spans="1:11">
      <c r="A414" s="701"/>
      <c r="B414" s="990"/>
      <c r="C414" s="660" t="s">
        <v>17</v>
      </c>
      <c r="D414" s="1003"/>
      <c r="E414" s="996"/>
      <c r="F414" s="999"/>
      <c r="G414" s="900"/>
      <c r="H414" s="994"/>
      <c r="I414" s="900"/>
      <c r="J414" s="900"/>
      <c r="K414" s="995"/>
    </row>
    <row r="415" spans="1:11">
      <c r="A415" s="660"/>
      <c r="B415" s="1042"/>
      <c r="C415" s="685"/>
      <c r="D415" s="885"/>
      <c r="E415" s="996"/>
      <c r="F415" s="847"/>
      <c r="G415" s="997"/>
      <c r="H415" s="994"/>
      <c r="I415" s="997"/>
      <c r="J415" s="997"/>
      <c r="K415" s="995"/>
    </row>
    <row r="416" spans="1:11">
      <c r="A416" s="701"/>
      <c r="B416" s="990"/>
      <c r="C416" s="660" t="s">
        <v>17</v>
      </c>
      <c r="D416" s="1003"/>
      <c r="E416" s="996"/>
      <c r="F416" s="999"/>
      <c r="G416" s="900"/>
      <c r="H416" s="994"/>
      <c r="I416" s="900"/>
      <c r="J416" s="900"/>
      <c r="K416" s="995"/>
    </row>
    <row r="417" spans="1:11">
      <c r="A417" s="701"/>
      <c r="B417" s="990"/>
      <c r="C417" s="660" t="s">
        <v>17</v>
      </c>
      <c r="D417" s="885"/>
      <c r="E417" s="996"/>
      <c r="F417" s="847"/>
      <c r="G417" s="993"/>
      <c r="H417" s="994"/>
      <c r="I417" s="993"/>
      <c r="J417" s="993"/>
      <c r="K417" s="995"/>
    </row>
    <row r="418" spans="1:11">
      <c r="A418" s="701"/>
      <c r="B418" s="990"/>
      <c r="C418" s="660" t="s">
        <v>17</v>
      </c>
      <c r="D418" s="885"/>
      <c r="E418" s="996"/>
      <c r="F418" s="999"/>
      <c r="G418" s="900"/>
      <c r="H418" s="994"/>
      <c r="I418" s="900"/>
      <c r="J418" s="900"/>
      <c r="K418" s="995"/>
    </row>
    <row r="419" spans="1:11">
      <c r="A419" s="701"/>
      <c r="B419" s="990"/>
      <c r="C419" s="660" t="s">
        <v>17</v>
      </c>
      <c r="D419" s="885"/>
      <c r="E419" s="996"/>
      <c r="F419" s="999"/>
      <c r="G419" s="900"/>
      <c r="H419" s="994"/>
      <c r="I419" s="900"/>
      <c r="J419" s="900"/>
      <c r="K419" s="995"/>
    </row>
    <row r="420" spans="1:11">
      <c r="A420" s="660"/>
      <c r="B420" s="990"/>
      <c r="C420" s="660" t="s">
        <v>17</v>
      </c>
      <c r="D420" s="1003"/>
      <c r="E420" s="996"/>
      <c r="F420" s="847"/>
      <c r="G420" s="900"/>
      <c r="H420" s="994"/>
      <c r="I420" s="900"/>
      <c r="J420" s="900"/>
      <c r="K420" s="995"/>
    </row>
    <row r="421" spans="1:11">
      <c r="A421" s="660"/>
      <c r="B421" s="1042"/>
      <c r="C421" s="898"/>
      <c r="D421" s="885"/>
      <c r="E421" s="996"/>
      <c r="F421" s="847"/>
      <c r="G421" s="997"/>
      <c r="H421" s="994"/>
      <c r="I421" s="997"/>
      <c r="J421" s="997"/>
      <c r="K421" s="995"/>
    </row>
    <row r="422" spans="1:11">
      <c r="A422" s="660"/>
      <c r="B422" s="1042"/>
      <c r="C422" s="660" t="s">
        <v>17</v>
      </c>
      <c r="D422" s="885"/>
      <c r="E422" s="996"/>
      <c r="F422" s="999"/>
      <c r="G422" s="900"/>
      <c r="H422" s="994"/>
      <c r="I422" s="900"/>
      <c r="J422" s="900"/>
      <c r="K422" s="995"/>
    </row>
    <row r="423" spans="1:11">
      <c r="A423" s="660"/>
      <c r="B423" s="1042"/>
      <c r="C423" s="660" t="s">
        <v>17</v>
      </c>
      <c r="D423" s="1003"/>
      <c r="E423" s="996"/>
      <c r="F423" s="999"/>
      <c r="G423" s="900"/>
      <c r="H423" s="994"/>
      <c r="I423" s="900"/>
      <c r="J423" s="900"/>
      <c r="K423" s="995"/>
    </row>
    <row r="424" spans="1:11">
      <c r="A424" s="660"/>
      <c r="B424" s="990"/>
      <c r="C424" s="660" t="s">
        <v>17</v>
      </c>
      <c r="D424" s="1003"/>
      <c r="E424" s="996"/>
      <c r="F424" s="999"/>
      <c r="G424" s="900"/>
      <c r="H424" s="994"/>
      <c r="I424" s="900"/>
      <c r="J424" s="900"/>
      <c r="K424" s="995"/>
    </row>
    <row r="425" spans="1:11">
      <c r="A425" s="1043"/>
      <c r="B425" s="990"/>
      <c r="C425" s="685" t="s">
        <v>32</v>
      </c>
      <c r="D425" s="885"/>
      <c r="E425" s="996"/>
      <c r="F425" s="999"/>
      <c r="G425" s="900"/>
      <c r="H425" s="994"/>
      <c r="I425" s="900"/>
      <c r="J425" s="900"/>
      <c r="K425" s="995"/>
    </row>
    <row r="426" spans="1:11">
      <c r="A426" s="1044"/>
      <c r="B426" s="983"/>
      <c r="C426" s="823"/>
      <c r="D426" s="1039"/>
      <c r="E426" s="1040"/>
      <c r="F426" s="1024"/>
      <c r="G426" s="1045"/>
      <c r="H426" s="988"/>
      <c r="I426" s="1045"/>
      <c r="J426" s="1045"/>
      <c r="K426" s="989"/>
    </row>
    <row r="427" spans="1:11">
      <c r="A427" s="755"/>
      <c r="B427" s="646"/>
      <c r="C427" s="1046"/>
      <c r="D427" s="1034"/>
      <c r="E427" s="1035"/>
      <c r="F427" s="979"/>
      <c r="G427" s="1036"/>
      <c r="H427" s="981"/>
      <c r="I427" s="1036"/>
      <c r="J427" s="1030"/>
      <c r="K427" s="1047"/>
    </row>
    <row r="428" spans="1:11">
      <c r="A428" s="863"/>
      <c r="B428" s="1048"/>
      <c r="C428" s="912"/>
      <c r="D428" s="1049"/>
      <c r="E428" s="1050"/>
      <c r="F428" s="1051"/>
      <c r="G428" s="1052"/>
      <c r="H428" s="1053"/>
      <c r="I428" s="1052"/>
      <c r="J428" s="1052"/>
      <c r="K428" s="1054"/>
    </row>
    <row r="429" spans="1:11">
      <c r="A429" s="757"/>
      <c r="B429" s="1037"/>
      <c r="C429" s="1038"/>
      <c r="D429" s="1039"/>
      <c r="E429" s="1040"/>
      <c r="F429" s="986"/>
      <c r="G429" s="1041"/>
      <c r="H429" s="988"/>
      <c r="I429" s="1041"/>
      <c r="J429" s="1055"/>
      <c r="K429" s="1056"/>
    </row>
    <row r="430" spans="1:11">
      <c r="A430" s="660"/>
      <c r="B430" s="990"/>
      <c r="C430" s="660" t="s">
        <v>19</v>
      </c>
      <c r="D430" s="1003"/>
      <c r="E430" s="996"/>
      <c r="F430" s="847"/>
      <c r="G430" s="900"/>
      <c r="H430" s="994"/>
      <c r="I430" s="900"/>
      <c r="J430" s="900"/>
      <c r="K430" s="818"/>
    </row>
    <row r="431" spans="1:11">
      <c r="A431" s="660"/>
      <c r="B431" s="990"/>
      <c r="C431" s="660" t="s">
        <v>19</v>
      </c>
      <c r="D431" s="1003"/>
      <c r="E431" s="996"/>
      <c r="F431" s="847"/>
      <c r="G431" s="900"/>
      <c r="H431" s="994"/>
      <c r="I431" s="900"/>
      <c r="J431" s="900"/>
      <c r="K431" s="818"/>
    </row>
    <row r="432" spans="1:11">
      <c r="A432" s="660"/>
      <c r="B432" s="990"/>
      <c r="C432" s="660" t="s">
        <v>19</v>
      </c>
      <c r="D432" s="1003"/>
      <c r="E432" s="996"/>
      <c r="F432" s="847"/>
      <c r="G432" s="900"/>
      <c r="H432" s="994"/>
      <c r="I432" s="900"/>
      <c r="J432" s="900"/>
      <c r="K432" s="818"/>
    </row>
    <row r="433" spans="1:11">
      <c r="A433" s="660"/>
      <c r="B433" s="990"/>
      <c r="C433" s="660" t="s">
        <v>19</v>
      </c>
      <c r="D433" s="1003"/>
      <c r="E433" s="996"/>
      <c r="F433" s="847"/>
      <c r="G433" s="900"/>
      <c r="H433" s="994"/>
      <c r="I433" s="900"/>
      <c r="J433" s="900"/>
      <c r="K433" s="1057"/>
    </row>
    <row r="434" spans="1:11">
      <c r="A434" s="660"/>
      <c r="B434" s="990"/>
      <c r="C434" s="660" t="s">
        <v>19</v>
      </c>
      <c r="D434" s="1003"/>
      <c r="E434" s="996"/>
      <c r="F434" s="847"/>
      <c r="G434" s="948"/>
      <c r="H434" s="994"/>
      <c r="I434" s="900"/>
      <c r="J434" s="900"/>
      <c r="K434" s="1057"/>
    </row>
    <row r="435" spans="1:11">
      <c r="A435" s="660"/>
      <c r="B435" s="990"/>
      <c r="C435" s="685" t="s">
        <v>32</v>
      </c>
      <c r="D435" s="1003"/>
      <c r="E435" s="996"/>
      <c r="F435" s="847"/>
      <c r="G435" s="900"/>
      <c r="H435" s="994"/>
      <c r="I435" s="900"/>
      <c r="J435" s="900"/>
      <c r="K435" s="1057"/>
    </row>
    <row r="436" spans="1:11">
      <c r="A436" s="660"/>
      <c r="B436" s="990"/>
      <c r="C436" s="685" t="s">
        <v>32</v>
      </c>
      <c r="D436" s="1003"/>
      <c r="E436" s="996"/>
      <c r="F436" s="847"/>
      <c r="G436" s="900"/>
      <c r="H436" s="994"/>
      <c r="I436" s="900"/>
      <c r="J436" s="900"/>
      <c r="K436" s="1057"/>
    </row>
    <row r="437" spans="1:11">
      <c r="A437" s="660"/>
      <c r="B437" s="1042"/>
      <c r="C437" s="660" t="s">
        <v>17</v>
      </c>
      <c r="D437" s="885"/>
      <c r="E437" s="996"/>
      <c r="F437" s="999"/>
      <c r="G437" s="900"/>
      <c r="H437" s="994"/>
      <c r="I437" s="900"/>
      <c r="J437" s="900"/>
      <c r="K437" s="818"/>
    </row>
    <row r="438" spans="1:11">
      <c r="A438" s="660"/>
      <c r="B438" s="990"/>
      <c r="C438" s="685" t="s">
        <v>32</v>
      </c>
      <c r="D438" s="885"/>
      <c r="E438" s="660"/>
      <c r="F438" s="999"/>
      <c r="G438" s="900"/>
      <c r="H438" s="859"/>
      <c r="I438" s="900"/>
      <c r="J438" s="900"/>
      <c r="K438" s="1057"/>
    </row>
    <row r="439" spans="1:11">
      <c r="A439" s="660"/>
      <c r="B439" s="990"/>
      <c r="C439" s="685" t="s">
        <v>32</v>
      </c>
      <c r="D439" s="885"/>
      <c r="E439" s="660"/>
      <c r="F439" s="999"/>
      <c r="G439" s="900"/>
      <c r="H439" s="859"/>
      <c r="I439" s="900"/>
      <c r="J439" s="900"/>
      <c r="K439" s="1057"/>
    </row>
    <row r="440" spans="1:11">
      <c r="A440" s="660"/>
      <c r="B440" s="990"/>
      <c r="C440" s="685" t="s">
        <v>32</v>
      </c>
      <c r="D440" s="1058"/>
      <c r="E440" s="660"/>
      <c r="F440" s="999"/>
      <c r="G440" s="900"/>
      <c r="H440" s="994"/>
      <c r="I440" s="900"/>
      <c r="J440" s="900"/>
      <c r="K440" s="1057"/>
    </row>
    <row r="441" spans="1:11">
      <c r="A441" s="757"/>
      <c r="B441" s="983"/>
      <c r="C441" s="823"/>
      <c r="D441" s="1058"/>
      <c r="E441" s="757"/>
      <c r="F441" s="1024"/>
      <c r="G441" s="1045"/>
      <c r="H441" s="988"/>
      <c r="I441" s="1045"/>
      <c r="J441" s="1045"/>
      <c r="K441" s="1059"/>
    </row>
    <row r="442" spans="1:11">
      <c r="A442" s="755"/>
      <c r="B442" s="646"/>
      <c r="C442" s="1060"/>
      <c r="D442" s="1034"/>
      <c r="E442" s="1061"/>
      <c r="F442" s="1062"/>
      <c r="G442" s="1063"/>
      <c r="H442" s="1064"/>
      <c r="I442" s="1063"/>
      <c r="J442" s="1065"/>
      <c r="K442" s="1066"/>
    </row>
    <row r="443" spans="1:11">
      <c r="A443" s="1067"/>
      <c r="B443" s="1068"/>
      <c r="C443" s="1069"/>
      <c r="D443" s="1070"/>
      <c r="E443" s="1071"/>
      <c r="F443" s="1072"/>
      <c r="G443" s="1073"/>
      <c r="H443" s="1074"/>
      <c r="I443" s="1075"/>
      <c r="J443" s="1076"/>
      <c r="K443" s="1077"/>
    </row>
    <row r="444" spans="1:11">
      <c r="A444" s="660"/>
      <c r="B444" s="1042"/>
      <c r="C444" s="660"/>
      <c r="D444" s="820"/>
      <c r="E444" s="660"/>
      <c r="F444" s="923"/>
      <c r="G444" s="900"/>
      <c r="H444" s="1078"/>
      <c r="I444" s="1079"/>
      <c r="J444" s="896"/>
      <c r="K444" s="957"/>
    </row>
    <row r="445" spans="1:11">
      <c r="A445" s="660"/>
      <c r="B445" s="1042"/>
      <c r="C445" s="660"/>
      <c r="D445" s="820"/>
      <c r="E445" s="660"/>
      <c r="F445" s="923"/>
      <c r="G445" s="900"/>
      <c r="H445" s="1078"/>
      <c r="I445" s="1079"/>
      <c r="J445" s="896"/>
      <c r="K445" s="957"/>
    </row>
    <row r="446" spans="1:11">
      <c r="A446" s="660"/>
      <c r="B446" s="1042"/>
      <c r="C446" s="660"/>
      <c r="D446" s="820"/>
      <c r="E446" s="660"/>
      <c r="F446" s="923"/>
      <c r="G446" s="900"/>
      <c r="H446" s="1078"/>
      <c r="I446" s="1079"/>
      <c r="J446" s="896"/>
      <c r="K446" s="957"/>
    </row>
    <row r="447" spans="1:11">
      <c r="A447" s="660"/>
      <c r="B447" s="1042"/>
      <c r="C447" s="660"/>
      <c r="D447" s="820"/>
      <c r="E447" s="660"/>
      <c r="F447" s="923"/>
      <c r="G447" s="900"/>
      <c r="H447" s="1078"/>
      <c r="I447" s="1079"/>
      <c r="J447" s="896"/>
      <c r="K447" s="957"/>
    </row>
    <row r="448" spans="1:11">
      <c r="A448" s="660"/>
      <c r="B448" s="1042"/>
      <c r="C448" s="660"/>
      <c r="D448" s="820"/>
      <c r="E448" s="660"/>
      <c r="F448" s="923"/>
      <c r="G448" s="900"/>
      <c r="H448" s="1078"/>
      <c r="I448" s="1079"/>
      <c r="J448" s="896"/>
      <c r="K448" s="957"/>
    </row>
    <row r="449" spans="1:11">
      <c r="A449" s="660"/>
      <c r="B449" s="1080"/>
      <c r="C449" s="660"/>
      <c r="D449" s="1081"/>
      <c r="E449" s="1082"/>
      <c r="F449" s="665"/>
      <c r="G449" s="1082"/>
      <c r="H449" s="859"/>
      <c r="I449" s="1079"/>
      <c r="J449" s="1083"/>
      <c r="K449" s="957"/>
    </row>
    <row r="450" spans="1:11">
      <c r="A450" s="660"/>
      <c r="B450" s="1042"/>
      <c r="C450" s="660"/>
      <c r="D450" s="1081"/>
      <c r="E450" s="1082"/>
      <c r="F450" s="665"/>
      <c r="G450" s="1082"/>
      <c r="H450" s="859"/>
      <c r="I450" s="1079"/>
      <c r="J450" s="1083"/>
      <c r="K450" s="957"/>
    </row>
    <row r="451" spans="1:11">
      <c r="A451" s="757"/>
      <c r="B451" s="1084"/>
      <c r="C451" s="1085"/>
      <c r="D451" s="836"/>
      <c r="E451" s="1086"/>
      <c r="F451" s="1087"/>
      <c r="G451" s="1086"/>
      <c r="H451" s="1088"/>
      <c r="I451" s="1089"/>
      <c r="J451" s="1090"/>
      <c r="K451" s="1091"/>
    </row>
    <row r="452" spans="1:11">
      <c r="A452" s="646"/>
      <c r="B452" s="1092"/>
      <c r="C452" s="1093"/>
      <c r="D452" s="727"/>
      <c r="E452" s="646"/>
      <c r="F452" s="1094"/>
      <c r="G452" s="1095"/>
      <c r="H452" s="1096"/>
      <c r="I452" s="1095"/>
      <c r="J452" s="1097"/>
      <c r="K452" s="965"/>
    </row>
    <row r="453" spans="1:11" s="1104" customFormat="1">
      <c r="A453" s="1067"/>
      <c r="B453" s="1098"/>
      <c r="C453" s="1098"/>
      <c r="D453" s="1099"/>
      <c r="E453" s="1067"/>
      <c r="F453" s="1100"/>
      <c r="G453" s="1101"/>
      <c r="H453" s="1102"/>
      <c r="I453" s="1103"/>
      <c r="J453" s="1076"/>
      <c r="K453" s="1077"/>
    </row>
    <row r="454" spans="1:11">
      <c r="A454" s="660"/>
      <c r="B454" s="1042"/>
      <c r="C454" s="660"/>
      <c r="D454" s="820"/>
      <c r="E454" s="660"/>
      <c r="F454" s="999"/>
      <c r="G454" s="900"/>
      <c r="H454" s="859"/>
      <c r="I454" s="900"/>
      <c r="J454" s="900"/>
      <c r="K454" s="957"/>
    </row>
    <row r="455" spans="1:11">
      <c r="A455" s="660"/>
      <c r="B455" s="1042"/>
      <c r="C455" s="660"/>
      <c r="D455" s="820"/>
      <c r="E455" s="1082"/>
      <c r="F455" s="923"/>
      <c r="G455" s="1082"/>
      <c r="H455" s="1078"/>
      <c r="I455" s="1079"/>
      <c r="J455" s="1083"/>
      <c r="K455" s="957"/>
    </row>
    <row r="456" spans="1:11">
      <c r="A456" s="1067"/>
      <c r="B456" s="1105"/>
      <c r="C456" s="1106"/>
      <c r="D456" s="1107"/>
      <c r="E456" s="1108"/>
      <c r="F456" s="1109"/>
      <c r="G456" s="1110"/>
      <c r="H456" s="1111"/>
      <c r="I456" s="1112"/>
      <c r="J456" s="1076"/>
      <c r="K456" s="1113"/>
    </row>
    <row r="457" spans="1:11">
      <c r="A457" s="646"/>
      <c r="B457" s="647"/>
      <c r="C457" s="1114"/>
      <c r="D457" s="727"/>
      <c r="E457" s="853"/>
      <c r="F457" s="1115"/>
      <c r="G457" s="1097"/>
      <c r="H457" s="1116"/>
      <c r="I457" s="1097"/>
      <c r="J457" s="1097"/>
      <c r="K457" s="965"/>
    </row>
    <row r="458" spans="1:11">
      <c r="A458" s="646"/>
      <c r="B458" s="1117"/>
      <c r="C458" s="648"/>
      <c r="D458" s="727"/>
      <c r="E458" s="646"/>
      <c r="F458" s="736"/>
      <c r="G458" s="1118"/>
      <c r="H458" s="892"/>
      <c r="I458" s="903"/>
      <c r="J458" s="1060"/>
      <c r="K458" s="1119"/>
    </row>
    <row r="459" spans="1:11">
      <c r="A459" s="1120"/>
      <c r="B459" s="1121"/>
      <c r="C459" s="1122"/>
      <c r="D459" s="1123"/>
      <c r="E459" s="1124"/>
      <c r="F459" s="1125"/>
      <c r="G459" s="1073"/>
      <c r="H459" s="1126"/>
      <c r="I459" s="1127"/>
      <c r="J459" s="1128"/>
      <c r="K459" s="1129"/>
    </row>
    <row r="460" spans="1:11">
      <c r="A460" s="1130"/>
      <c r="B460" s="1131"/>
      <c r="C460" s="1132"/>
      <c r="D460" s="1003"/>
      <c r="E460" s="1130"/>
      <c r="F460" s="999"/>
      <c r="G460" s="900"/>
      <c r="H460" s="859"/>
      <c r="I460" s="900"/>
      <c r="J460" s="900"/>
      <c r="K460" s="957"/>
    </row>
    <row r="461" spans="1:11">
      <c r="A461" s="1130"/>
      <c r="B461" s="1131"/>
      <c r="C461" s="1132"/>
      <c r="D461" s="1003"/>
      <c r="E461" s="1130"/>
      <c r="F461" s="999"/>
      <c r="G461" s="900"/>
      <c r="H461" s="859"/>
      <c r="I461" s="900"/>
      <c r="J461" s="900"/>
      <c r="K461" s="957"/>
    </row>
    <row r="462" spans="1:11">
      <c r="A462" s="1130"/>
      <c r="B462" s="1131"/>
      <c r="C462" s="1133"/>
      <c r="D462" s="1003"/>
      <c r="E462" s="1130"/>
      <c r="F462" s="999"/>
      <c r="G462" s="900"/>
      <c r="H462" s="859"/>
      <c r="I462" s="900"/>
      <c r="J462" s="900"/>
      <c r="K462" s="957"/>
    </row>
    <row r="463" spans="1:11">
      <c r="A463" s="1130"/>
      <c r="B463" s="1131"/>
      <c r="C463" s="1133"/>
      <c r="D463" s="1003"/>
      <c r="E463" s="1130"/>
      <c r="F463" s="999"/>
      <c r="G463" s="900"/>
      <c r="H463" s="859"/>
      <c r="I463" s="900"/>
      <c r="J463" s="900"/>
      <c r="K463" s="957"/>
    </row>
    <row r="464" spans="1:11">
      <c r="A464" s="1130"/>
      <c r="B464" s="1131"/>
      <c r="C464" s="1133"/>
      <c r="D464" s="1003"/>
      <c r="E464" s="1130"/>
      <c r="F464" s="999"/>
      <c r="G464" s="900"/>
      <c r="H464" s="859"/>
      <c r="I464" s="900"/>
      <c r="J464" s="900"/>
      <c r="K464" s="957"/>
    </row>
    <row r="465" spans="1:11">
      <c r="A465" s="1130"/>
      <c r="B465" s="1131"/>
      <c r="C465" s="1134"/>
      <c r="D465" s="1003"/>
      <c r="E465" s="1130"/>
      <c r="F465" s="999"/>
      <c r="G465" s="900"/>
      <c r="H465" s="859"/>
      <c r="I465" s="900"/>
      <c r="J465" s="900"/>
      <c r="K465" s="957"/>
    </row>
    <row r="466" spans="1:11">
      <c r="A466" s="1130"/>
      <c r="B466" s="1135"/>
      <c r="C466" s="1134"/>
      <c r="D466" s="1003"/>
      <c r="E466" s="1130"/>
      <c r="F466" s="999"/>
      <c r="G466" s="900"/>
      <c r="H466" s="859"/>
      <c r="I466" s="900"/>
      <c r="J466" s="900"/>
      <c r="K466" s="957"/>
    </row>
    <row r="467" spans="1:11">
      <c r="A467" s="1130"/>
      <c r="B467" s="1131"/>
      <c r="C467" s="1134"/>
      <c r="D467" s="1003"/>
      <c r="E467" s="1130"/>
      <c r="F467" s="999"/>
      <c r="G467" s="900"/>
      <c r="H467" s="859"/>
      <c r="I467" s="900"/>
      <c r="J467" s="900"/>
      <c r="K467" s="957"/>
    </row>
    <row r="468" spans="1:11">
      <c r="A468" s="1130"/>
      <c r="B468" s="1131"/>
      <c r="C468" s="1134"/>
      <c r="D468" s="1003"/>
      <c r="E468" s="1130"/>
      <c r="F468" s="999"/>
      <c r="G468" s="900"/>
      <c r="H468" s="859"/>
      <c r="I468" s="900"/>
      <c r="J468" s="900"/>
      <c r="K468" s="957"/>
    </row>
    <row r="469" spans="1:11">
      <c r="A469" s="1130"/>
      <c r="B469" s="1131"/>
      <c r="C469" s="1134"/>
      <c r="D469" s="1003"/>
      <c r="E469" s="1130"/>
      <c r="F469" s="999"/>
      <c r="G469" s="900"/>
      <c r="H469" s="859"/>
      <c r="I469" s="900"/>
      <c r="J469" s="900"/>
      <c r="K469" s="957"/>
    </row>
    <row r="470" spans="1:11">
      <c r="A470" s="1130"/>
      <c r="B470" s="1131"/>
      <c r="C470" s="1134"/>
      <c r="D470" s="999"/>
      <c r="E470" s="1130"/>
      <c r="F470" s="923"/>
      <c r="G470" s="900"/>
      <c r="H470" s="859"/>
      <c r="I470" s="900"/>
      <c r="J470" s="900"/>
      <c r="K470" s="957"/>
    </row>
    <row r="471" spans="1:11">
      <c r="A471" s="1130"/>
      <c r="B471" s="1131"/>
      <c r="C471" s="1134"/>
      <c r="D471" s="999"/>
      <c r="E471" s="1130"/>
      <c r="F471" s="923"/>
      <c r="G471" s="900"/>
      <c r="H471" s="859"/>
      <c r="I471" s="900"/>
      <c r="J471" s="900"/>
      <c r="K471" s="957"/>
    </row>
    <row r="472" spans="1:11">
      <c r="A472" s="1130"/>
      <c r="B472" s="1131"/>
      <c r="C472" s="1134"/>
      <c r="D472" s="999"/>
      <c r="E472" s="1130"/>
      <c r="F472" s="923"/>
      <c r="G472" s="900"/>
      <c r="H472" s="859"/>
      <c r="I472" s="900"/>
      <c r="J472" s="900"/>
      <c r="K472" s="957"/>
    </row>
    <row r="473" spans="1:11">
      <c r="A473" s="1130"/>
      <c r="B473" s="1131"/>
      <c r="C473" s="1134"/>
      <c r="D473" s="1003"/>
      <c r="E473" s="1130"/>
      <c r="F473" s="923"/>
      <c r="G473" s="900"/>
      <c r="H473" s="859"/>
      <c r="I473" s="900"/>
      <c r="J473" s="900"/>
      <c r="K473" s="957"/>
    </row>
    <row r="474" spans="1:11">
      <c r="A474" s="1130"/>
      <c r="B474" s="1131"/>
      <c r="C474" s="1134"/>
      <c r="D474" s="1003"/>
      <c r="E474" s="1130"/>
      <c r="F474" s="923"/>
      <c r="G474" s="900"/>
      <c r="H474" s="859"/>
      <c r="I474" s="900"/>
      <c r="J474" s="900"/>
      <c r="K474" s="957"/>
    </row>
    <row r="475" spans="1:11">
      <c r="A475" s="1130"/>
      <c r="B475" s="1131"/>
      <c r="C475" s="1134"/>
      <c r="D475" s="999"/>
      <c r="E475" s="1130"/>
      <c r="F475" s="999"/>
      <c r="G475" s="900"/>
      <c r="H475" s="859"/>
      <c r="I475" s="900"/>
      <c r="J475" s="900"/>
      <c r="K475" s="957"/>
    </row>
    <row r="476" spans="1:11">
      <c r="A476" s="1130"/>
      <c r="B476" s="1131"/>
      <c r="C476" s="1134"/>
      <c r="D476" s="999"/>
      <c r="E476" s="1130"/>
      <c r="F476" s="999"/>
      <c r="G476" s="900"/>
      <c r="H476" s="859"/>
      <c r="I476" s="900"/>
      <c r="J476" s="900"/>
      <c r="K476" s="957"/>
    </row>
    <row r="477" spans="1:11">
      <c r="A477" s="1130"/>
      <c r="B477" s="1131"/>
      <c r="C477" s="1136"/>
      <c r="D477" s="999"/>
      <c r="E477" s="1130"/>
      <c r="F477" s="999"/>
      <c r="G477" s="900"/>
      <c r="H477" s="859"/>
      <c r="I477" s="900"/>
      <c r="J477" s="900"/>
      <c r="K477" s="957"/>
    </row>
    <row r="478" spans="1:11">
      <c r="A478" s="925"/>
      <c r="B478" s="1137"/>
      <c r="C478" s="698"/>
      <c r="D478" s="1138"/>
      <c r="E478" s="1139"/>
      <c r="F478" s="1140"/>
      <c r="G478" s="1141"/>
      <c r="H478" s="1142"/>
      <c r="I478" s="1143"/>
      <c r="J478" s="1144"/>
      <c r="K478" s="1145"/>
    </row>
    <row r="479" spans="1:11">
      <c r="A479" s="755"/>
      <c r="B479" s="1146"/>
      <c r="C479" s="1147"/>
      <c r="D479" s="1148"/>
      <c r="E479" s="647"/>
      <c r="F479" s="1030"/>
      <c r="G479" s="1149"/>
      <c r="H479" s="981"/>
      <c r="I479" s="1150"/>
      <c r="J479" s="1029"/>
      <c r="K479" s="1119"/>
    </row>
    <row r="480" spans="1:11">
      <c r="A480" s="1120"/>
      <c r="B480" s="1151"/>
      <c r="C480" s="1152"/>
      <c r="D480" s="1123"/>
      <c r="E480" s="1124"/>
      <c r="F480" s="1125"/>
      <c r="G480" s="1073"/>
      <c r="H480" s="1126"/>
      <c r="I480" s="1127"/>
      <c r="J480" s="1128"/>
      <c r="K480" s="1129"/>
    </row>
    <row r="481" spans="1:11">
      <c r="A481" s="1120"/>
      <c r="B481" s="1131"/>
      <c r="C481" s="1134"/>
      <c r="D481" s="999"/>
      <c r="E481" s="1130"/>
      <c r="F481" s="923"/>
      <c r="G481" s="900"/>
      <c r="H481" s="859"/>
      <c r="I481" s="900"/>
      <c r="J481" s="900"/>
      <c r="K481" s="1129"/>
    </row>
    <row r="482" spans="1:11">
      <c r="A482" s="1120"/>
      <c r="B482" s="1131"/>
      <c r="C482" s="1134"/>
      <c r="D482" s="999"/>
      <c r="E482" s="1130"/>
      <c r="F482" s="923"/>
      <c r="G482" s="900"/>
      <c r="H482" s="859"/>
      <c r="I482" s="900"/>
      <c r="J482" s="900"/>
      <c r="K482" s="1129"/>
    </row>
    <row r="483" spans="1:11">
      <c r="A483" s="1120"/>
      <c r="B483" s="1131"/>
      <c r="C483" s="1136"/>
      <c r="D483" s="1003"/>
      <c r="E483" s="1130"/>
      <c r="F483" s="999"/>
      <c r="G483" s="900"/>
      <c r="H483" s="859"/>
      <c r="I483" s="900"/>
      <c r="J483" s="900"/>
      <c r="K483" s="1129"/>
    </row>
    <row r="484" spans="1:11">
      <c r="A484" s="1120"/>
      <c r="B484" s="1131"/>
      <c r="C484" s="1134"/>
      <c r="D484" s="999"/>
      <c r="E484" s="1130"/>
      <c r="F484" s="923"/>
      <c r="G484" s="900"/>
      <c r="H484" s="859"/>
      <c r="I484" s="900"/>
      <c r="J484" s="900"/>
      <c r="K484" s="1129"/>
    </row>
    <row r="485" spans="1:11">
      <c r="A485" s="660"/>
      <c r="B485" s="1131"/>
      <c r="C485" s="1153"/>
      <c r="D485" s="1003"/>
      <c r="E485" s="1130"/>
      <c r="F485" s="999"/>
      <c r="G485" s="900"/>
      <c r="H485" s="859"/>
      <c r="I485" s="900"/>
      <c r="J485" s="900"/>
      <c r="K485" s="957"/>
    </row>
    <row r="486" spans="1:11">
      <c r="A486" s="660"/>
      <c r="B486" s="1131"/>
      <c r="C486" s="1134"/>
      <c r="D486" s="1003"/>
      <c r="E486" s="1130"/>
      <c r="F486" s="999"/>
      <c r="G486" s="900"/>
      <c r="H486" s="859"/>
      <c r="I486" s="900"/>
      <c r="J486" s="900"/>
      <c r="K486" s="957"/>
    </row>
    <row r="487" spans="1:11">
      <c r="A487" s="660"/>
      <c r="B487" s="1131"/>
      <c r="C487" s="1134"/>
      <c r="D487" s="1003"/>
      <c r="E487" s="1130"/>
      <c r="F487" s="999"/>
      <c r="G487" s="900"/>
      <c r="H487" s="859"/>
      <c r="I487" s="900"/>
      <c r="J487" s="900"/>
      <c r="K487" s="957"/>
    </row>
    <row r="488" spans="1:11">
      <c r="A488" s="660"/>
      <c r="B488" s="1131"/>
      <c r="C488" s="1134"/>
      <c r="D488" s="1003"/>
      <c r="E488" s="1130"/>
      <c r="F488" s="999"/>
      <c r="G488" s="900"/>
      <c r="H488" s="859"/>
      <c r="I488" s="900"/>
      <c r="J488" s="900"/>
      <c r="K488" s="957"/>
    </row>
    <row r="489" spans="1:11">
      <c r="A489" s="1130"/>
      <c r="B489" s="1131"/>
      <c r="C489" s="1134"/>
      <c r="D489" s="1003"/>
      <c r="E489" s="1130"/>
      <c r="F489" s="999"/>
      <c r="G489" s="900"/>
      <c r="H489" s="859"/>
      <c r="I489" s="900"/>
      <c r="J489" s="900"/>
      <c r="K489" s="957"/>
    </row>
    <row r="490" spans="1:11">
      <c r="A490" s="1130"/>
      <c r="B490" s="1131"/>
      <c r="C490" s="1134"/>
      <c r="D490" s="1003"/>
      <c r="E490" s="1130"/>
      <c r="F490" s="999"/>
      <c r="G490" s="900"/>
      <c r="H490" s="859"/>
      <c r="I490" s="900"/>
      <c r="J490" s="900"/>
      <c r="K490" s="957"/>
    </row>
    <row r="491" spans="1:11">
      <c r="A491" s="1130"/>
      <c r="B491" s="1131"/>
      <c r="C491" s="1134"/>
      <c r="D491" s="1003"/>
      <c r="E491" s="1130"/>
      <c r="F491" s="999"/>
      <c r="G491" s="900"/>
      <c r="H491" s="859"/>
      <c r="I491" s="900"/>
      <c r="J491" s="900"/>
      <c r="K491" s="957"/>
    </row>
    <row r="492" spans="1:11">
      <c r="A492" s="1130"/>
      <c r="B492" s="1131"/>
      <c r="C492" s="1134"/>
      <c r="D492" s="999"/>
      <c r="E492" s="1130"/>
      <c r="F492" s="999"/>
      <c r="G492" s="900"/>
      <c r="H492" s="859"/>
      <c r="I492" s="900"/>
      <c r="J492" s="900"/>
      <c r="K492" s="957"/>
    </row>
    <row r="493" spans="1:11">
      <c r="A493" s="1130"/>
      <c r="B493" s="1131"/>
      <c r="C493" s="1134"/>
      <c r="D493" s="999"/>
      <c r="E493" s="1130"/>
      <c r="F493" s="999"/>
      <c r="G493" s="900"/>
      <c r="H493" s="859"/>
      <c r="I493" s="900"/>
      <c r="J493" s="900"/>
      <c r="K493" s="957"/>
    </row>
    <row r="494" spans="1:11">
      <c r="A494" s="1130"/>
      <c r="B494" s="1131"/>
      <c r="C494" s="1136"/>
      <c r="D494" s="999"/>
      <c r="E494" s="1130"/>
      <c r="F494" s="923"/>
      <c r="G494" s="900"/>
      <c r="H494" s="859"/>
      <c r="I494" s="900"/>
      <c r="J494" s="900"/>
      <c r="K494" s="957"/>
    </row>
    <row r="495" spans="1:11">
      <c r="A495" s="925"/>
      <c r="B495" s="1154"/>
      <c r="C495" s="698"/>
      <c r="D495" s="1138"/>
      <c r="E495" s="1139"/>
      <c r="F495" s="1140"/>
      <c r="G495" s="1141"/>
      <c r="H495" s="1142"/>
      <c r="I495" s="1143"/>
      <c r="J495" s="1144"/>
      <c r="K495" s="1145"/>
    </row>
    <row r="496" spans="1:11">
      <c r="A496" s="755"/>
      <c r="B496" s="1146"/>
      <c r="C496" s="1147"/>
      <c r="D496" s="1148"/>
      <c r="E496" s="647"/>
      <c r="F496" s="1030"/>
      <c r="G496" s="1149"/>
      <c r="H496" s="981"/>
      <c r="I496" s="1150"/>
      <c r="J496" s="1029"/>
      <c r="K496" s="1119"/>
    </row>
    <row r="497" spans="1:11">
      <c r="A497" s="1120"/>
      <c r="B497" s="1151"/>
      <c r="C497" s="1152"/>
      <c r="D497" s="1123"/>
      <c r="E497" s="1124"/>
      <c r="F497" s="1125"/>
      <c r="G497" s="1073"/>
      <c r="H497" s="1126"/>
      <c r="I497" s="1127"/>
      <c r="J497" s="1128"/>
      <c r="K497" s="1129"/>
    </row>
    <row r="498" spans="1:11">
      <c r="A498" s="660"/>
      <c r="B498" s="1155"/>
      <c r="C498" s="1156"/>
      <c r="D498" s="999"/>
      <c r="E498" s="1130"/>
      <c r="F498" s="923"/>
      <c r="G498" s="900"/>
      <c r="H498" s="859"/>
      <c r="I498" s="900"/>
      <c r="J498" s="900"/>
      <c r="K498" s="957"/>
    </row>
    <row r="499" spans="1:11">
      <c r="A499" s="660"/>
      <c r="B499" s="1131"/>
      <c r="C499" s="1134"/>
      <c r="D499" s="999"/>
      <c r="E499" s="1130"/>
      <c r="F499" s="923"/>
      <c r="G499" s="900"/>
      <c r="H499" s="859"/>
      <c r="I499" s="900"/>
      <c r="J499" s="900"/>
      <c r="K499" s="957"/>
    </row>
    <row r="500" spans="1:11">
      <c r="A500" s="757"/>
      <c r="B500" s="642"/>
      <c r="C500" s="1157"/>
      <c r="D500" s="1024"/>
      <c r="E500" s="1158"/>
      <c r="F500" s="1159"/>
      <c r="G500" s="1045"/>
      <c r="H500" s="1088"/>
      <c r="I500" s="1045"/>
      <c r="J500" s="1045"/>
      <c r="K500" s="1091"/>
    </row>
    <row r="501" spans="1:11">
      <c r="A501" s="962"/>
      <c r="B501" s="1160"/>
      <c r="C501" s="1161"/>
      <c r="D501" s="1162"/>
      <c r="E501" s="1163"/>
      <c r="F501" s="1164"/>
      <c r="G501" s="1165"/>
      <c r="H501" s="1166"/>
      <c r="I501" s="1167"/>
      <c r="J501" s="1168"/>
      <c r="K501" s="1119"/>
    </row>
    <row r="502" spans="1:11">
      <c r="A502" s="1120"/>
      <c r="B502" s="1121"/>
      <c r="C502" s="1122"/>
      <c r="D502" s="839"/>
      <c r="E502" s="706"/>
      <c r="F502" s="1125"/>
      <c r="G502" s="1073"/>
      <c r="H502" s="1126"/>
      <c r="I502" s="1127"/>
      <c r="J502" s="1128"/>
      <c r="K502" s="1129"/>
    </row>
    <row r="503" spans="1:11">
      <c r="A503" s="1169"/>
      <c r="B503" s="1131"/>
      <c r="C503" s="1134"/>
      <c r="D503" s="999"/>
      <c r="E503" s="1130"/>
      <c r="F503" s="923"/>
      <c r="G503" s="900"/>
      <c r="H503" s="859"/>
      <c r="I503" s="900"/>
      <c r="J503" s="900"/>
      <c r="K503" s="957"/>
    </row>
    <row r="504" spans="1:11">
      <c r="A504" s="1169"/>
      <c r="B504" s="1131"/>
      <c r="C504" s="1134"/>
      <c r="D504" s="999"/>
      <c r="E504" s="1130"/>
      <c r="F504" s="923"/>
      <c r="G504" s="900"/>
      <c r="H504" s="859"/>
      <c r="I504" s="900"/>
      <c r="J504" s="900"/>
      <c r="K504" s="957"/>
    </row>
    <row r="505" spans="1:11">
      <c r="A505" s="1169"/>
      <c r="B505" s="1131"/>
      <c r="C505" s="1134"/>
      <c r="D505" s="999"/>
      <c r="E505" s="1130"/>
      <c r="F505" s="923"/>
      <c r="G505" s="900"/>
      <c r="H505" s="859"/>
      <c r="I505" s="900"/>
      <c r="J505" s="900"/>
      <c r="K505" s="957"/>
    </row>
    <row r="506" spans="1:11">
      <c r="A506" s="1130"/>
      <c r="B506" s="1155"/>
      <c r="C506" s="1170"/>
      <c r="D506" s="999"/>
      <c r="E506" s="1130"/>
      <c r="F506" s="923"/>
      <c r="G506" s="900"/>
      <c r="H506" s="859"/>
      <c r="I506" s="900"/>
      <c r="J506" s="900"/>
      <c r="K506" s="957"/>
    </row>
    <row r="507" spans="1:11">
      <c r="A507" s="1130"/>
      <c r="B507" s="1155"/>
      <c r="C507" s="1170"/>
      <c r="D507" s="1003"/>
      <c r="E507" s="1130"/>
      <c r="F507" s="923"/>
      <c r="G507" s="900"/>
      <c r="H507" s="859"/>
      <c r="I507" s="900"/>
      <c r="J507" s="900"/>
      <c r="K507" s="957"/>
    </row>
    <row r="508" spans="1:11">
      <c r="A508" s="1130"/>
      <c r="B508" s="1155"/>
      <c r="C508" s="1170"/>
      <c r="D508" s="1003"/>
      <c r="E508" s="1130"/>
      <c r="F508" s="923"/>
      <c r="G508" s="900"/>
      <c r="H508" s="859"/>
      <c r="I508" s="900"/>
      <c r="J508" s="900"/>
      <c r="K508" s="957"/>
    </row>
    <row r="509" spans="1:11">
      <c r="A509" s="1130"/>
      <c r="B509" s="1155"/>
      <c r="C509" s="1170"/>
      <c r="D509" s="1003"/>
      <c r="E509" s="1130"/>
      <c r="F509" s="923"/>
      <c r="G509" s="900"/>
      <c r="H509" s="859"/>
      <c r="I509" s="900"/>
      <c r="J509" s="900"/>
      <c r="K509" s="957"/>
    </row>
    <row r="510" spans="1:11">
      <c r="A510" s="1130"/>
      <c r="B510" s="1155"/>
      <c r="C510" s="1170"/>
      <c r="D510" s="1003"/>
      <c r="E510" s="1130"/>
      <c r="F510" s="923"/>
      <c r="G510" s="900"/>
      <c r="H510" s="859"/>
      <c r="I510" s="900"/>
      <c r="J510" s="900"/>
      <c r="K510" s="957"/>
    </row>
    <row r="511" spans="1:11">
      <c r="A511" s="1130"/>
      <c r="B511" s="1155"/>
      <c r="C511" s="1170"/>
      <c r="D511" s="1003"/>
      <c r="E511" s="1130"/>
      <c r="F511" s="923"/>
      <c r="G511" s="900"/>
      <c r="H511" s="859"/>
      <c r="I511" s="900"/>
      <c r="J511" s="900"/>
      <c r="K511" s="957"/>
    </row>
    <row r="512" spans="1:11">
      <c r="A512" s="1130"/>
      <c r="B512" s="1131"/>
      <c r="C512" s="1134"/>
      <c r="D512" s="999"/>
      <c r="E512" s="1130"/>
      <c r="F512" s="923"/>
      <c r="G512" s="900"/>
      <c r="H512" s="859"/>
      <c r="I512" s="900"/>
      <c r="J512" s="900"/>
      <c r="K512" s="957"/>
    </row>
    <row r="513" spans="1:11">
      <c r="A513" s="1130"/>
      <c r="B513" s="1155"/>
      <c r="C513" s="1170"/>
      <c r="D513" s="1003"/>
      <c r="E513" s="1130"/>
      <c r="F513" s="923"/>
      <c r="G513" s="900"/>
      <c r="H513" s="859"/>
      <c r="I513" s="900"/>
      <c r="J513" s="900"/>
      <c r="K513" s="957"/>
    </row>
    <row r="514" spans="1:11">
      <c r="A514" s="1130"/>
      <c r="B514" s="1155"/>
      <c r="C514" s="1170"/>
      <c r="D514" s="1003"/>
      <c r="E514" s="1130"/>
      <c r="F514" s="923"/>
      <c r="G514" s="900"/>
      <c r="H514" s="859"/>
      <c r="I514" s="900"/>
      <c r="J514" s="900"/>
      <c r="K514" s="957"/>
    </row>
    <row r="515" spans="1:11">
      <c r="A515" s="1130"/>
      <c r="B515" s="1131"/>
      <c r="C515" s="1134"/>
      <c r="D515" s="1003"/>
      <c r="E515" s="1130"/>
      <c r="F515" s="923"/>
      <c r="G515" s="900"/>
      <c r="H515" s="859"/>
      <c r="I515" s="900"/>
      <c r="J515" s="900"/>
      <c r="K515" s="957"/>
    </row>
    <row r="516" spans="1:11">
      <c r="A516" s="1130"/>
      <c r="B516" s="1131"/>
      <c r="C516" s="1134"/>
      <c r="D516" s="1003"/>
      <c r="E516" s="1130"/>
      <c r="F516" s="923"/>
      <c r="G516" s="900"/>
      <c r="H516" s="859"/>
      <c r="I516" s="900"/>
      <c r="J516" s="900"/>
      <c r="K516" s="957"/>
    </row>
    <row r="517" spans="1:11">
      <c r="A517" s="1130"/>
      <c r="B517" s="1131"/>
      <c r="C517" s="1134"/>
      <c r="D517" s="999"/>
      <c r="E517" s="1130"/>
      <c r="F517" s="923"/>
      <c r="G517" s="900"/>
      <c r="H517" s="859"/>
      <c r="I517" s="900"/>
      <c r="J517" s="900"/>
      <c r="K517" s="957"/>
    </row>
    <row r="518" spans="1:11">
      <c r="A518" s="1130"/>
      <c r="B518" s="1131"/>
      <c r="C518" s="1134"/>
      <c r="D518" s="999"/>
      <c r="E518" s="1130"/>
      <c r="F518" s="923"/>
      <c r="G518" s="900"/>
      <c r="H518" s="859"/>
      <c r="I518" s="900"/>
      <c r="J518" s="900"/>
      <c r="K518" s="957"/>
    </row>
    <row r="519" spans="1:11">
      <c r="A519" s="1130"/>
      <c r="B519" s="1131"/>
      <c r="C519" s="1134"/>
      <c r="D519" s="1003"/>
      <c r="E519" s="1130"/>
      <c r="F519" s="923"/>
      <c r="G519" s="900"/>
      <c r="H519" s="859"/>
      <c r="I519" s="900"/>
      <c r="J519" s="900"/>
      <c r="K519" s="957"/>
    </row>
    <row r="520" spans="1:11">
      <c r="A520" s="1130"/>
      <c r="B520" s="1131"/>
      <c r="C520" s="1134"/>
      <c r="D520" s="1003"/>
      <c r="E520" s="1130"/>
      <c r="F520" s="923"/>
      <c r="G520" s="900"/>
      <c r="H520" s="859"/>
      <c r="I520" s="900"/>
      <c r="J520" s="900"/>
      <c r="K520" s="957"/>
    </row>
    <row r="521" spans="1:11">
      <c r="A521" s="1130"/>
      <c r="B521" s="1131"/>
      <c r="C521" s="1134"/>
      <c r="D521" s="1003"/>
      <c r="E521" s="1130"/>
      <c r="F521" s="923"/>
      <c r="G521" s="900"/>
      <c r="H521" s="859"/>
      <c r="I521" s="900"/>
      <c r="J521" s="900"/>
      <c r="K521" s="957"/>
    </row>
    <row r="522" spans="1:11">
      <c r="A522" s="1130"/>
      <c r="B522" s="1135"/>
      <c r="C522" s="1134"/>
      <c r="D522" s="999"/>
      <c r="E522" s="1130"/>
      <c r="F522" s="923"/>
      <c r="G522" s="900"/>
      <c r="H522" s="859"/>
      <c r="I522" s="900"/>
      <c r="J522" s="900"/>
      <c r="K522" s="957"/>
    </row>
    <row r="523" spans="1:11">
      <c r="A523" s="1171"/>
      <c r="B523" s="1172"/>
      <c r="C523" s="1173"/>
      <c r="D523" s="1174"/>
      <c r="E523" s="692"/>
      <c r="F523" s="1140"/>
      <c r="G523" s="1141"/>
      <c r="H523" s="1142"/>
      <c r="I523" s="1143"/>
      <c r="J523" s="1144"/>
      <c r="K523" s="1145"/>
    </row>
    <row r="524" spans="1:11">
      <c r="A524" s="962"/>
      <c r="B524" s="1146"/>
      <c r="C524" s="1147"/>
      <c r="D524" s="1148"/>
      <c r="E524" s="647"/>
      <c r="F524" s="979"/>
      <c r="G524" s="1033"/>
      <c r="H524" s="981"/>
      <c r="I524" s="1175"/>
      <c r="J524" s="1030"/>
      <c r="K524" s="1119"/>
    </row>
    <row r="525" spans="1:11">
      <c r="A525" s="1120"/>
      <c r="B525" s="1121"/>
      <c r="C525" s="1176"/>
      <c r="D525" s="738"/>
      <c r="E525" s="674"/>
      <c r="F525" s="1125"/>
      <c r="G525" s="1073"/>
      <c r="H525" s="1126"/>
      <c r="I525" s="1127"/>
      <c r="J525" s="1128"/>
      <c r="K525" s="1129"/>
    </row>
    <row r="526" spans="1:11">
      <c r="A526" s="1130"/>
      <c r="B526" s="1131"/>
      <c r="C526" s="1177"/>
      <c r="D526" s="1003"/>
      <c r="E526" s="1130"/>
      <c r="F526" s="923"/>
      <c r="G526" s="900"/>
      <c r="H526" s="859"/>
      <c r="I526" s="900"/>
      <c r="J526" s="900"/>
      <c r="K526" s="957"/>
    </row>
    <row r="527" spans="1:11">
      <c r="A527" s="1130"/>
      <c r="B527" s="1131"/>
      <c r="C527" s="1177"/>
      <c r="D527" s="1003"/>
      <c r="E527" s="1130"/>
      <c r="F527" s="665"/>
      <c r="G527" s="900"/>
      <c r="H527" s="859"/>
      <c r="I527" s="900"/>
      <c r="J527" s="900"/>
      <c r="K527" s="957"/>
    </row>
    <row r="528" spans="1:11">
      <c r="A528" s="1130"/>
      <c r="B528" s="1131"/>
      <c r="C528" s="1177"/>
      <c r="D528" s="1003"/>
      <c r="E528" s="1130"/>
      <c r="F528" s="665"/>
      <c r="G528" s="900"/>
      <c r="H528" s="859"/>
      <c r="I528" s="900"/>
      <c r="J528" s="900"/>
      <c r="K528" s="957"/>
    </row>
    <row r="529" spans="1:11">
      <c r="A529" s="1130"/>
      <c r="B529" s="1131"/>
      <c r="C529" s="1177"/>
      <c r="D529" s="1003"/>
      <c r="E529" s="1130"/>
      <c r="F529" s="665"/>
      <c r="G529" s="900"/>
      <c r="H529" s="859"/>
      <c r="I529" s="900"/>
      <c r="J529" s="900"/>
      <c r="K529" s="957"/>
    </row>
    <row r="530" spans="1:11">
      <c r="A530" s="1130"/>
      <c r="B530" s="1131"/>
      <c r="C530" s="1178"/>
      <c r="D530" s="999"/>
      <c r="E530" s="1130"/>
      <c r="F530" s="923"/>
      <c r="G530" s="900"/>
      <c r="H530" s="924"/>
      <c r="I530" s="900"/>
      <c r="J530" s="900"/>
      <c r="K530" s="957"/>
    </row>
    <row r="531" spans="1:11">
      <c r="A531" s="1130"/>
      <c r="B531" s="1131"/>
      <c r="C531" s="1178"/>
      <c r="D531" s="1003"/>
      <c r="E531" s="1130"/>
      <c r="F531" s="665"/>
      <c r="G531" s="900"/>
      <c r="H531" s="859"/>
      <c r="I531" s="900"/>
      <c r="J531" s="900"/>
      <c r="K531" s="957"/>
    </row>
    <row r="532" spans="1:11">
      <c r="A532" s="1130"/>
      <c r="B532" s="1131"/>
      <c r="C532" s="684"/>
      <c r="D532" s="1003"/>
      <c r="E532" s="1130"/>
      <c r="F532" s="665"/>
      <c r="G532" s="900"/>
      <c r="H532" s="859"/>
      <c r="I532" s="900"/>
      <c r="J532" s="900"/>
      <c r="K532" s="957"/>
    </row>
    <row r="533" spans="1:11">
      <c r="A533" s="1130"/>
      <c r="B533" s="1131"/>
      <c r="C533" s="684"/>
      <c r="D533" s="999"/>
      <c r="E533" s="1130"/>
      <c r="F533" s="923"/>
      <c r="G533" s="900"/>
      <c r="H533" s="924"/>
      <c r="I533" s="900"/>
      <c r="J533" s="900"/>
      <c r="K533" s="957"/>
    </row>
    <row r="534" spans="1:11">
      <c r="A534" s="1130"/>
      <c r="B534" s="1131"/>
      <c r="C534" s="684"/>
      <c r="D534" s="999"/>
      <c r="E534" s="1130"/>
      <c r="F534" s="923"/>
      <c r="G534" s="900"/>
      <c r="H534" s="924"/>
      <c r="I534" s="900"/>
      <c r="J534" s="900"/>
      <c r="K534" s="957"/>
    </row>
    <row r="535" spans="1:11">
      <c r="A535" s="1130"/>
      <c r="B535" s="1131"/>
      <c r="C535" s="684"/>
      <c r="D535" s="999"/>
      <c r="E535" s="1130"/>
      <c r="F535" s="923"/>
      <c r="G535" s="900"/>
      <c r="H535" s="924"/>
      <c r="I535" s="900"/>
      <c r="J535" s="900"/>
      <c r="K535" s="957"/>
    </row>
    <row r="536" spans="1:11">
      <c r="A536" s="1130"/>
      <c r="B536" s="1131"/>
      <c r="C536" s="684"/>
      <c r="D536" s="1003"/>
      <c r="E536" s="1130"/>
      <c r="F536" s="923"/>
      <c r="G536" s="900"/>
      <c r="H536" s="859"/>
      <c r="I536" s="900"/>
      <c r="J536" s="900"/>
      <c r="K536" s="957"/>
    </row>
    <row r="537" spans="1:11">
      <c r="A537" s="1130"/>
      <c r="B537" s="1131"/>
      <c r="C537" s="684"/>
      <c r="D537" s="1003"/>
      <c r="E537" s="1130"/>
      <c r="F537" s="923"/>
      <c r="G537" s="900"/>
      <c r="H537" s="859"/>
      <c r="I537" s="900"/>
      <c r="J537" s="900"/>
      <c r="K537" s="957"/>
    </row>
    <row r="538" spans="1:11">
      <c r="A538" s="1130"/>
      <c r="B538" s="1131"/>
      <c r="C538" s="684"/>
      <c r="D538" s="1003"/>
      <c r="E538" s="1130"/>
      <c r="F538" s="999"/>
      <c r="G538" s="900"/>
      <c r="H538" s="859"/>
      <c r="I538" s="900"/>
      <c r="J538" s="900"/>
      <c r="K538" s="957"/>
    </row>
    <row r="539" spans="1:11">
      <c r="A539" s="1130"/>
      <c r="B539" s="1131"/>
      <c r="C539" s="684"/>
      <c r="D539" s="1003"/>
      <c r="E539" s="1130"/>
      <c r="F539" s="923"/>
      <c r="G539" s="900"/>
      <c r="H539" s="859"/>
      <c r="I539" s="900"/>
      <c r="J539" s="900"/>
      <c r="K539" s="957"/>
    </row>
    <row r="540" spans="1:11">
      <c r="A540" s="1130"/>
      <c r="B540" s="1131"/>
      <c r="C540" s="684"/>
      <c r="D540" s="1003"/>
      <c r="E540" s="1130"/>
      <c r="F540" s="923"/>
      <c r="G540" s="900"/>
      <c r="H540" s="924"/>
      <c r="I540" s="900"/>
      <c r="J540" s="900"/>
      <c r="K540" s="957"/>
    </row>
    <row r="541" spans="1:11">
      <c r="A541" s="1130"/>
      <c r="B541" s="1131"/>
      <c r="C541" s="684"/>
      <c r="D541" s="1003"/>
      <c r="E541" s="1130"/>
      <c r="F541" s="923"/>
      <c r="G541" s="900"/>
      <c r="H541" s="924"/>
      <c r="I541" s="900"/>
      <c r="J541" s="900"/>
      <c r="K541" s="957"/>
    </row>
    <row r="542" spans="1:11">
      <c r="A542" s="1130"/>
      <c r="B542" s="1131"/>
      <c r="C542" s="684"/>
      <c r="D542" s="1003"/>
      <c r="E542" s="1130"/>
      <c r="F542" s="923"/>
      <c r="G542" s="900"/>
      <c r="H542" s="924"/>
      <c r="I542" s="900"/>
      <c r="J542" s="900"/>
      <c r="K542" s="957"/>
    </row>
    <row r="543" spans="1:11">
      <c r="A543" s="1130"/>
      <c r="B543" s="1131"/>
      <c r="C543" s="684"/>
      <c r="D543" s="1003"/>
      <c r="E543" s="1130"/>
      <c r="F543" s="923"/>
      <c r="G543" s="900"/>
      <c r="H543" s="924"/>
      <c r="I543" s="900"/>
      <c r="J543" s="900"/>
      <c r="K543" s="957"/>
    </row>
    <row r="544" spans="1:11">
      <c r="A544" s="1130"/>
      <c r="B544" s="1131"/>
      <c r="C544" s="684"/>
      <c r="D544" s="999"/>
      <c r="E544" s="1130"/>
      <c r="F544" s="923"/>
      <c r="G544" s="900"/>
      <c r="H544" s="924"/>
      <c r="I544" s="900"/>
      <c r="J544" s="900"/>
      <c r="K544" s="957"/>
    </row>
    <row r="545" spans="1:11">
      <c r="A545" s="1130"/>
      <c r="B545" s="1131"/>
      <c r="C545" s="684"/>
      <c r="D545" s="999"/>
      <c r="E545" s="1130"/>
      <c r="F545" s="923"/>
      <c r="G545" s="900"/>
      <c r="H545" s="924"/>
      <c r="I545" s="900"/>
      <c r="J545" s="900"/>
      <c r="K545" s="957"/>
    </row>
    <row r="546" spans="1:11">
      <c r="A546" s="1130"/>
      <c r="B546" s="1131"/>
      <c r="C546" s="684"/>
      <c r="D546" s="999"/>
      <c r="E546" s="1130"/>
      <c r="F546" s="923"/>
      <c r="G546" s="900"/>
      <c r="H546" s="924"/>
      <c r="I546" s="900"/>
      <c r="J546" s="900"/>
      <c r="K546" s="957"/>
    </row>
    <row r="547" spans="1:11">
      <c r="A547" s="1130"/>
      <c r="B547" s="1131"/>
      <c r="C547" s="684"/>
      <c r="D547" s="999"/>
      <c r="E547" s="1130"/>
      <c r="F547" s="923"/>
      <c r="G547" s="900"/>
      <c r="H547" s="924"/>
      <c r="I547" s="900"/>
      <c r="J547" s="900"/>
      <c r="K547" s="957"/>
    </row>
    <row r="548" spans="1:11">
      <c r="A548" s="1130"/>
      <c r="B548" s="1131"/>
      <c r="C548" s="684"/>
      <c r="D548" s="999"/>
      <c r="E548" s="1130"/>
      <c r="F548" s="923"/>
      <c r="G548" s="900"/>
      <c r="H548" s="924"/>
      <c r="I548" s="900"/>
      <c r="J548" s="900"/>
      <c r="K548" s="957"/>
    </row>
    <row r="549" spans="1:11" s="1172" customFormat="1">
      <c r="A549" s="1130"/>
      <c r="B549" s="1131"/>
      <c r="C549" s="684"/>
      <c r="D549" s="999"/>
      <c r="E549" s="1130"/>
      <c r="F549" s="923"/>
      <c r="G549" s="900"/>
      <c r="H549" s="924"/>
      <c r="I549" s="900"/>
      <c r="J549" s="900"/>
      <c r="K549" s="957"/>
    </row>
    <row r="550" spans="1:11">
      <c r="A550" s="1130"/>
      <c r="B550" s="1131"/>
      <c r="C550" s="684"/>
      <c r="D550" s="999"/>
      <c r="E550" s="1130"/>
      <c r="F550" s="923"/>
      <c r="G550" s="900"/>
      <c r="H550" s="924"/>
      <c r="I550" s="900"/>
      <c r="J550" s="900"/>
      <c r="K550" s="957"/>
    </row>
    <row r="551" spans="1:11">
      <c r="A551" s="1171"/>
      <c r="B551" s="1172"/>
      <c r="C551" s="698"/>
      <c r="D551" s="1138"/>
      <c r="E551" s="1139"/>
      <c r="F551" s="1140"/>
      <c r="G551" s="1141"/>
      <c r="H551" s="1142"/>
      <c r="I551" s="1143"/>
      <c r="J551" s="1179"/>
      <c r="K551" s="1145"/>
    </row>
    <row r="552" spans="1:11">
      <c r="A552" s="962"/>
      <c r="B552" s="1160"/>
      <c r="C552" s="795"/>
      <c r="D552" s="1162"/>
      <c r="E552" s="1163"/>
      <c r="F552" s="1164"/>
      <c r="G552" s="1165"/>
      <c r="H552" s="1166"/>
      <c r="I552" s="1167"/>
      <c r="J552" s="1168"/>
      <c r="K552" s="1119"/>
    </row>
    <row r="553" spans="1:11">
      <c r="A553" s="1180"/>
      <c r="B553" s="1181"/>
      <c r="C553" s="1132"/>
      <c r="D553" s="1182"/>
      <c r="E553" s="992"/>
      <c r="F553" s="923"/>
      <c r="G553" s="1082"/>
      <c r="H553" s="924"/>
      <c r="I553" s="1127"/>
      <c r="J553" s="1128"/>
      <c r="K553" s="1129"/>
    </row>
    <row r="554" spans="1:11">
      <c r="A554" s="701"/>
      <c r="B554" s="1131"/>
      <c r="C554" s="1133"/>
      <c r="D554" s="1003"/>
      <c r="E554" s="1130"/>
      <c r="F554" s="923"/>
      <c r="G554" s="900"/>
      <c r="H554" s="924"/>
      <c r="I554" s="900"/>
      <c r="J554" s="900"/>
      <c r="K554" s="957"/>
    </row>
    <row r="555" spans="1:11">
      <c r="A555" s="660"/>
      <c r="B555" s="1131"/>
      <c r="C555" s="1133"/>
      <c r="D555" s="1003"/>
      <c r="E555" s="1130"/>
      <c r="F555" s="923"/>
      <c r="G555" s="900"/>
      <c r="H555" s="924"/>
      <c r="I555" s="900"/>
      <c r="J555" s="900"/>
      <c r="K555" s="957"/>
    </row>
    <row r="556" spans="1:11">
      <c r="A556" s="660"/>
      <c r="B556" s="1131"/>
      <c r="C556" s="1133"/>
      <c r="D556" s="1003"/>
      <c r="E556" s="1130"/>
      <c r="F556" s="923"/>
      <c r="G556" s="900"/>
      <c r="H556" s="994"/>
      <c r="I556" s="900"/>
      <c r="J556" s="900"/>
      <c r="K556" s="957"/>
    </row>
    <row r="557" spans="1:11">
      <c r="A557" s="660"/>
      <c r="B557" s="1131"/>
      <c r="C557" s="1133"/>
      <c r="D557" s="1183"/>
      <c r="E557" s="1130"/>
      <c r="F557" s="923"/>
      <c r="G557" s="900"/>
      <c r="H557" s="924"/>
      <c r="I557" s="900"/>
      <c r="J557" s="900"/>
      <c r="K557" s="957"/>
    </row>
    <row r="558" spans="1:11">
      <c r="A558" s="660"/>
      <c r="B558" s="1131"/>
      <c r="C558" s="1133"/>
      <c r="D558" s="1183"/>
      <c r="E558" s="1130"/>
      <c r="F558" s="923"/>
      <c r="G558" s="900"/>
      <c r="H558" s="924"/>
      <c r="I558" s="900"/>
      <c r="J558" s="900"/>
      <c r="K558" s="957"/>
    </row>
    <row r="559" spans="1:11">
      <c r="A559" s="660"/>
      <c r="B559" s="1131"/>
      <c r="C559" s="1133"/>
      <c r="D559" s="1183"/>
      <c r="E559" s="1130"/>
      <c r="F559" s="923"/>
      <c r="G559" s="900"/>
      <c r="H559" s="924"/>
      <c r="I559" s="900"/>
      <c r="J559" s="900"/>
      <c r="K559" s="957"/>
    </row>
    <row r="560" spans="1:11">
      <c r="A560" s="660"/>
      <c r="B560" s="1131"/>
      <c r="C560" s="1133"/>
      <c r="D560" s="1183"/>
      <c r="E560" s="1130"/>
      <c r="F560" s="923"/>
      <c r="G560" s="900"/>
      <c r="H560" s="924"/>
      <c r="I560" s="900"/>
      <c r="J560" s="900"/>
      <c r="K560" s="957"/>
    </row>
    <row r="561" spans="1:11">
      <c r="A561" s="660"/>
      <c r="B561" s="1131"/>
      <c r="C561" s="1133"/>
      <c r="D561" s="1183"/>
      <c r="E561" s="1130"/>
      <c r="F561" s="923"/>
      <c r="G561" s="900"/>
      <c r="H561" s="924"/>
      <c r="I561" s="900"/>
      <c r="J561" s="900"/>
      <c r="K561" s="957"/>
    </row>
    <row r="562" spans="1:11">
      <c r="A562" s="660"/>
      <c r="B562" s="1131"/>
      <c r="C562" s="1133"/>
      <c r="D562" s="1183"/>
      <c r="E562" s="1130"/>
      <c r="F562" s="923"/>
      <c r="G562" s="900"/>
      <c r="H562" s="924"/>
      <c r="I562" s="900"/>
      <c r="J562" s="900"/>
      <c r="K562" s="957"/>
    </row>
    <row r="563" spans="1:11">
      <c r="A563" s="660"/>
      <c r="B563" s="1131"/>
      <c r="C563" s="1134"/>
      <c r="D563" s="1183"/>
      <c r="E563" s="1130"/>
      <c r="F563" s="665"/>
      <c r="G563" s="900"/>
      <c r="H563" s="859"/>
      <c r="I563" s="900"/>
      <c r="J563" s="900"/>
      <c r="K563" s="957"/>
    </row>
    <row r="564" spans="1:11">
      <c r="A564" s="660"/>
      <c r="B564" s="1131"/>
      <c r="C564" s="1134"/>
      <c r="D564" s="1003"/>
      <c r="E564" s="1130"/>
      <c r="F564" s="923"/>
      <c r="G564" s="900"/>
      <c r="H564" s="859"/>
      <c r="I564" s="900"/>
      <c r="J564" s="900"/>
      <c r="K564" s="957"/>
    </row>
    <row r="565" spans="1:11">
      <c r="A565" s="660"/>
      <c r="B565" s="1131"/>
      <c r="C565" s="1134"/>
      <c r="D565" s="1183"/>
      <c r="E565" s="1130"/>
      <c r="F565" s="923"/>
      <c r="G565" s="900"/>
      <c r="H565" s="924"/>
      <c r="I565" s="900"/>
      <c r="J565" s="900"/>
      <c r="K565" s="957"/>
    </row>
    <row r="566" spans="1:11">
      <c r="A566" s="660"/>
      <c r="B566" s="1131"/>
      <c r="C566" s="1134"/>
      <c r="D566" s="1183"/>
      <c r="E566" s="1130"/>
      <c r="F566" s="665"/>
      <c r="G566" s="900"/>
      <c r="H566" s="859"/>
      <c r="I566" s="900"/>
      <c r="J566" s="900"/>
      <c r="K566" s="957"/>
    </row>
    <row r="567" spans="1:11">
      <c r="A567" s="660"/>
      <c r="B567" s="1184"/>
      <c r="C567" s="1134"/>
      <c r="D567" s="1183"/>
      <c r="E567" s="1130"/>
      <c r="F567" s="923"/>
      <c r="G567" s="900"/>
      <c r="H567" s="924"/>
      <c r="I567" s="900"/>
      <c r="J567" s="900"/>
      <c r="K567" s="957"/>
    </row>
    <row r="568" spans="1:11">
      <c r="A568" s="660"/>
      <c r="B568" s="1184"/>
      <c r="C568" s="1134"/>
      <c r="D568" s="1003"/>
      <c r="E568" s="1130"/>
      <c r="F568" s="923"/>
      <c r="G568" s="900"/>
      <c r="H568" s="924"/>
      <c r="I568" s="900"/>
      <c r="J568" s="900"/>
      <c r="K568" s="957"/>
    </row>
    <row r="569" spans="1:11">
      <c r="A569" s="660"/>
      <c r="B569" s="1184"/>
      <c r="C569" s="1134"/>
      <c r="D569" s="1183"/>
      <c r="E569" s="1130"/>
      <c r="F569" s="923"/>
      <c r="G569" s="900"/>
      <c r="H569" s="859"/>
      <c r="I569" s="900"/>
      <c r="J569" s="900"/>
      <c r="K569" s="957"/>
    </row>
    <row r="570" spans="1:11">
      <c r="A570" s="660"/>
      <c r="B570" s="1184"/>
      <c r="C570" s="1134"/>
      <c r="D570" s="1003"/>
      <c r="E570" s="1130"/>
      <c r="F570" s="923"/>
      <c r="G570" s="900"/>
      <c r="H570" s="859"/>
      <c r="I570" s="900"/>
      <c r="J570" s="900"/>
      <c r="K570" s="957"/>
    </row>
    <row r="571" spans="1:11">
      <c r="A571" s="660"/>
      <c r="B571" s="1184"/>
      <c r="C571" s="1134"/>
      <c r="D571" s="1003"/>
      <c r="E571" s="1130"/>
      <c r="F571" s="923"/>
      <c r="G571" s="900"/>
      <c r="H571" s="859"/>
      <c r="I571" s="900"/>
      <c r="J571" s="900"/>
      <c r="K571" s="957"/>
    </row>
    <row r="572" spans="1:11">
      <c r="A572" s="660"/>
      <c r="B572" s="1131"/>
      <c r="C572" s="1134"/>
      <c r="D572" s="1003"/>
      <c r="E572" s="1130"/>
      <c r="F572" s="923"/>
      <c r="G572" s="900"/>
      <c r="H572" s="924"/>
      <c r="I572" s="900"/>
      <c r="J572" s="900"/>
      <c r="K572" s="957"/>
    </row>
    <row r="573" spans="1:11">
      <c r="A573" s="660"/>
      <c r="B573" s="1184"/>
      <c r="C573" s="1134"/>
      <c r="D573" s="1183"/>
      <c r="E573" s="1130"/>
      <c r="F573" s="923"/>
      <c r="G573" s="900"/>
      <c r="H573" s="924"/>
      <c r="I573" s="900"/>
      <c r="J573" s="900"/>
      <c r="K573" s="957"/>
    </row>
    <row r="574" spans="1:11">
      <c r="A574" s="692"/>
      <c r="B574" s="1184"/>
      <c r="C574" s="1173"/>
      <c r="D574" s="1185"/>
      <c r="E574" s="1130"/>
      <c r="F574" s="1140"/>
      <c r="G574" s="900"/>
      <c r="H574" s="1142"/>
      <c r="I574" s="900"/>
      <c r="J574" s="900"/>
      <c r="K574" s="1145"/>
    </row>
    <row r="575" spans="1:11">
      <c r="A575" s="692"/>
      <c r="B575" s="1184"/>
      <c r="C575" s="1173"/>
      <c r="D575" s="1185"/>
      <c r="E575" s="1130"/>
      <c r="F575" s="1140"/>
      <c r="G575" s="900"/>
      <c r="H575" s="1142"/>
      <c r="I575" s="900"/>
      <c r="J575" s="900"/>
      <c r="K575" s="1145"/>
    </row>
    <row r="576" spans="1:11" ht="21" customHeight="1">
      <c r="A576" s="660"/>
      <c r="B576" s="1131"/>
      <c r="C576" s="684"/>
      <c r="D576" s="1000"/>
      <c r="E576" s="1130"/>
      <c r="F576" s="665"/>
      <c r="G576" s="900"/>
      <c r="H576" s="859"/>
      <c r="I576" s="900"/>
      <c r="J576" s="900"/>
      <c r="K576" s="957"/>
    </row>
    <row r="577" spans="1:11">
      <c r="A577" s="757"/>
      <c r="B577" s="642"/>
      <c r="C577" s="1186"/>
      <c r="D577" s="1187"/>
      <c r="E577" s="1188"/>
      <c r="F577" s="825"/>
      <c r="G577" s="1045"/>
      <c r="H577" s="1088"/>
      <c r="I577" s="1045"/>
      <c r="J577" s="1189"/>
      <c r="K577" s="1091"/>
    </row>
    <row r="578" spans="1:11">
      <c r="A578" s="755"/>
      <c r="B578" s="1146"/>
      <c r="C578" s="1147"/>
      <c r="D578" s="1148"/>
      <c r="E578" s="647"/>
      <c r="F578" s="979"/>
      <c r="G578" s="1033"/>
      <c r="H578" s="981"/>
      <c r="I578" s="1175"/>
      <c r="J578" s="1030"/>
      <c r="K578" s="1119"/>
    </row>
    <row r="579" spans="1:11">
      <c r="A579" s="755"/>
      <c r="B579" s="647"/>
      <c r="C579" s="781"/>
      <c r="D579" s="1190"/>
      <c r="E579" s="755"/>
      <c r="F579" s="1164"/>
      <c r="G579" s="1118"/>
      <c r="H579" s="1166"/>
      <c r="I579" s="964"/>
      <c r="J579" s="1168"/>
      <c r="K579" s="982"/>
    </row>
    <row r="580" spans="1:11">
      <c r="A580" s="646"/>
      <c r="B580" s="1117"/>
      <c r="C580" s="648"/>
      <c r="D580" s="727"/>
      <c r="E580" s="646"/>
      <c r="F580" s="736"/>
      <c r="G580" s="1118"/>
      <c r="H580" s="892"/>
      <c r="I580" s="903"/>
      <c r="J580" s="1060"/>
      <c r="K580" s="1119"/>
    </row>
    <row r="581" spans="1:11">
      <c r="A581" s="706"/>
      <c r="B581" s="1191"/>
      <c r="C581" s="1192"/>
      <c r="D581" s="738"/>
      <c r="E581" s="674"/>
      <c r="F581" s="678"/>
      <c r="G581" s="1073"/>
      <c r="H581" s="857"/>
      <c r="I581" s="1127"/>
      <c r="J581" s="1193"/>
      <c r="K581" s="1194"/>
    </row>
    <row r="582" spans="1:11">
      <c r="A582" s="660"/>
      <c r="B582" s="1195"/>
      <c r="C582" s="1196"/>
      <c r="D582" s="1197"/>
      <c r="E582" s="660"/>
      <c r="F582" s="665"/>
      <c r="G582" s="1082"/>
      <c r="H582" s="859"/>
      <c r="I582" s="1079"/>
      <c r="J582" s="1198"/>
      <c r="K582" s="995"/>
    </row>
    <row r="583" spans="1:11">
      <c r="A583" s="660"/>
      <c r="B583" s="1195"/>
      <c r="C583" s="1042"/>
      <c r="D583" s="885"/>
      <c r="E583" s="660"/>
      <c r="F583" s="665"/>
      <c r="G583" s="1082"/>
      <c r="H583" s="859"/>
      <c r="I583" s="1079"/>
      <c r="J583" s="1198"/>
      <c r="K583" s="995"/>
    </row>
    <row r="584" spans="1:11">
      <c r="A584" s="701"/>
      <c r="B584" s="1199"/>
      <c r="C584" s="1199"/>
      <c r="D584" s="1200"/>
      <c r="E584" s="701"/>
      <c r="F584" s="709"/>
      <c r="G584" s="1082"/>
      <c r="H584" s="1201"/>
      <c r="I584" s="1079"/>
      <c r="J584" s="1198"/>
      <c r="K584" s="995"/>
    </row>
    <row r="585" spans="1:11">
      <c r="A585" s="660"/>
      <c r="B585" s="1042"/>
      <c r="C585" s="1196"/>
      <c r="D585" s="885"/>
      <c r="E585" s="660"/>
      <c r="F585" s="665"/>
      <c r="G585" s="1082"/>
      <c r="H585" s="859"/>
      <c r="I585" s="1079"/>
      <c r="J585" s="1198"/>
      <c r="K585" s="818"/>
    </row>
    <row r="586" spans="1:11">
      <c r="A586" s="660"/>
      <c r="B586" s="1195"/>
      <c r="C586" s="1042"/>
      <c r="D586" s="885"/>
      <c r="E586" s="660"/>
      <c r="F586" s="665"/>
      <c r="G586" s="1082"/>
      <c r="H586" s="859"/>
      <c r="I586" s="1079"/>
      <c r="J586" s="1198"/>
      <c r="K586" s="818"/>
    </row>
    <row r="587" spans="1:11">
      <c r="A587" s="660"/>
      <c r="B587" s="1042"/>
      <c r="C587" s="1196"/>
      <c r="D587" s="885"/>
      <c r="E587" s="660"/>
      <c r="F587" s="665"/>
      <c r="G587" s="1082"/>
      <c r="H587" s="859"/>
      <c r="I587" s="1079"/>
      <c r="J587" s="1198"/>
      <c r="K587" s="818"/>
    </row>
    <row r="588" spans="1:11">
      <c r="A588" s="660"/>
      <c r="B588" s="1042"/>
      <c r="C588" s="1196"/>
      <c r="D588" s="885"/>
      <c r="E588" s="660"/>
      <c r="F588" s="665"/>
      <c r="G588" s="1082"/>
      <c r="H588" s="859"/>
      <c r="I588" s="1079"/>
      <c r="J588" s="1198"/>
      <c r="K588" s="818"/>
    </row>
    <row r="589" spans="1:11">
      <c r="A589" s="660"/>
      <c r="B589" s="1042"/>
      <c r="C589" s="1042"/>
      <c r="D589" s="885"/>
      <c r="E589" s="660"/>
      <c r="F589" s="665"/>
      <c r="G589" s="1082"/>
      <c r="H589" s="859"/>
      <c r="I589" s="1079"/>
      <c r="J589" s="1198"/>
      <c r="K589" s="818"/>
    </row>
    <row r="590" spans="1:11">
      <c r="A590" s="701"/>
      <c r="B590" s="1199"/>
      <c r="C590" s="1042"/>
      <c r="D590" s="885"/>
      <c r="E590" s="660"/>
      <c r="F590" s="665"/>
      <c r="G590" s="1082"/>
      <c r="H590" s="859"/>
      <c r="I590" s="1079"/>
      <c r="J590" s="1198"/>
      <c r="K590" s="818"/>
    </row>
    <row r="591" spans="1:11">
      <c r="A591" s="660"/>
      <c r="B591" s="1195"/>
      <c r="C591" s="1196"/>
      <c r="D591" s="885"/>
      <c r="E591" s="660"/>
      <c r="F591" s="665"/>
      <c r="G591" s="1082"/>
      <c r="H591" s="859"/>
      <c r="I591" s="1079"/>
      <c r="J591" s="1198"/>
      <c r="K591" s="818"/>
    </row>
    <row r="592" spans="1:11">
      <c r="A592" s="701"/>
      <c r="B592" s="1199"/>
      <c r="C592" s="1042"/>
      <c r="D592" s="885"/>
      <c r="E592" s="660"/>
      <c r="F592" s="665"/>
      <c r="G592" s="1082"/>
      <c r="H592" s="859"/>
      <c r="I592" s="1079"/>
      <c r="J592" s="1198"/>
      <c r="K592" s="818"/>
    </row>
    <row r="593" spans="1:11">
      <c r="A593" s="701"/>
      <c r="B593" s="1199"/>
      <c r="C593" s="1042"/>
      <c r="D593" s="885"/>
      <c r="E593" s="660"/>
      <c r="F593" s="665"/>
      <c r="G593" s="1082"/>
      <c r="H593" s="859"/>
      <c r="I593" s="1079"/>
      <c r="J593" s="1198"/>
      <c r="K593" s="818"/>
    </row>
    <row r="594" spans="1:11">
      <c r="A594" s="718"/>
      <c r="B594" s="1202"/>
      <c r="C594" s="1037"/>
      <c r="D594" s="1039"/>
      <c r="E594" s="757"/>
      <c r="F594" s="825"/>
      <c r="G594" s="1086"/>
      <c r="H594" s="1088"/>
      <c r="I594" s="1089"/>
      <c r="J594" s="987"/>
      <c r="K594" s="1056"/>
    </row>
    <row r="595" spans="1:11">
      <c r="A595" s="755"/>
      <c r="B595" s="647"/>
      <c r="C595" s="647"/>
      <c r="D595" s="727"/>
      <c r="E595" s="646"/>
      <c r="F595" s="729"/>
      <c r="G595" s="903"/>
      <c r="H595" s="862"/>
      <c r="I595" s="903"/>
      <c r="J595" s="903"/>
      <c r="K595" s="982"/>
    </row>
  </sheetData>
  <mergeCells count="11">
    <mergeCell ref="D4:F4"/>
    <mergeCell ref="J3:K3"/>
    <mergeCell ref="A5:A6"/>
    <mergeCell ref="B5:B6"/>
    <mergeCell ref="C5:C6"/>
    <mergeCell ref="D5:D6"/>
    <mergeCell ref="E5:E6"/>
    <mergeCell ref="F5:G5"/>
    <mergeCell ref="H5:I5"/>
    <mergeCell ref="J5:J6"/>
    <mergeCell ref="K5:K6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60" fitToHeight="0" orientation="portrait" r:id="rId1"/>
  <headerFooter alignWithMargins="0">
    <oddFooter>&amp;R&amp;"Browallia New,ธรรมดา"&amp;11แผ่นที่ &amp;P รวม &amp;N</oddFooter>
  </headerFooter>
  <rowBreaks count="5" manualBreakCount="5">
    <brk id="65" max="10" man="1"/>
    <brk id="152" max="10" man="1"/>
    <brk id="231" max="10" man="1"/>
    <brk id="414" max="10" man="1"/>
    <brk id="439" max="1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91"/>
  <sheetViews>
    <sheetView showGridLines="0" showZeros="0" view="pageBreakPreview" topLeftCell="A16" zoomScaleNormal="110" zoomScaleSheetLayoutView="100" workbookViewId="0">
      <selection activeCell="F37" sqref="F37"/>
    </sheetView>
  </sheetViews>
  <sheetFormatPr defaultRowHeight="24"/>
  <cols>
    <col min="1" max="1" width="5.625" style="290" customWidth="1"/>
    <col min="2" max="2" width="50.625" style="291" customWidth="1"/>
    <col min="3" max="3" width="6.875" style="290" hidden="1" customWidth="1"/>
    <col min="4" max="4" width="10.625" style="505" customWidth="1"/>
    <col min="5" max="5" width="6.5" style="327" customWidth="1"/>
    <col min="6" max="6" width="12" style="457" customWidth="1"/>
    <col min="7" max="7" width="12" style="293" customWidth="1"/>
    <col min="8" max="8" width="12" style="294" customWidth="1"/>
    <col min="9" max="10" width="12" style="293" customWidth="1"/>
    <col min="11" max="11" width="11.25" style="291" customWidth="1"/>
    <col min="12" max="12" width="9" style="30"/>
    <col min="13" max="13" width="27" style="30" customWidth="1"/>
    <col min="14" max="16384" width="9" style="30"/>
  </cols>
  <sheetData>
    <row r="1" spans="1:18" s="15" customFormat="1">
      <c r="A1" s="7" t="s">
        <v>439</v>
      </c>
      <c r="B1" s="8"/>
      <c r="C1" s="9"/>
      <c r="D1" s="458"/>
      <c r="E1" s="9"/>
      <c r="F1" s="459"/>
      <c r="G1" s="11"/>
      <c r="H1" s="11"/>
      <c r="I1" s="11"/>
      <c r="J1" s="12"/>
      <c r="K1" s="328"/>
    </row>
    <row r="2" spans="1:18" s="15" customFormat="1">
      <c r="A2" s="7" t="s">
        <v>454</v>
      </c>
      <c r="B2" s="16"/>
      <c r="C2" s="17"/>
      <c r="D2" s="460"/>
      <c r="E2" s="9" t="s">
        <v>23</v>
      </c>
      <c r="F2" s="459"/>
      <c r="G2" s="11"/>
      <c r="H2" s="11"/>
      <c r="I2" s="19"/>
      <c r="J2" s="20"/>
      <c r="K2" s="329"/>
    </row>
    <row r="3" spans="1:18" s="15" customFormat="1" ht="19.5" customHeight="1">
      <c r="A3" s="7" t="s">
        <v>431</v>
      </c>
      <c r="B3" s="16"/>
      <c r="C3" s="10"/>
      <c r="D3" s="458"/>
      <c r="E3" s="295" t="s">
        <v>21</v>
      </c>
      <c r="F3" s="461"/>
      <c r="G3" s="23">
        <f>ปร.5!F9</f>
        <v>44502</v>
      </c>
      <c r="H3" s="24"/>
      <c r="I3" s="25"/>
      <c r="J3" s="1293"/>
      <c r="K3" s="1293"/>
    </row>
    <row r="4" spans="1:18" s="15" customFormat="1" ht="19.5" customHeight="1">
      <c r="A4" s="26"/>
      <c r="B4" s="27"/>
      <c r="C4" s="26"/>
      <c r="D4" s="1318" t="s">
        <v>120</v>
      </c>
      <c r="E4" s="1318"/>
      <c r="F4" s="1318"/>
      <c r="G4" s="28"/>
      <c r="H4" s="28"/>
      <c r="I4" s="28"/>
      <c r="J4" s="28"/>
      <c r="K4" s="27"/>
    </row>
    <row r="5" spans="1:18" ht="19.5" customHeight="1">
      <c r="A5" s="1294" t="s">
        <v>7</v>
      </c>
      <c r="B5" s="1295" t="s">
        <v>18</v>
      </c>
      <c r="C5" s="1319" t="s">
        <v>14</v>
      </c>
      <c r="D5" s="1320" t="s">
        <v>14</v>
      </c>
      <c r="E5" s="1294" t="s">
        <v>13</v>
      </c>
      <c r="F5" s="1296" t="s">
        <v>8</v>
      </c>
      <c r="G5" s="1296"/>
      <c r="H5" s="1296" t="s">
        <v>9</v>
      </c>
      <c r="I5" s="1296"/>
      <c r="J5" s="1297" t="s">
        <v>10</v>
      </c>
      <c r="K5" s="1321" t="s">
        <v>15</v>
      </c>
    </row>
    <row r="6" spans="1:18">
      <c r="A6" s="1294"/>
      <c r="B6" s="1295"/>
      <c r="C6" s="1319"/>
      <c r="D6" s="1320"/>
      <c r="E6" s="1294"/>
      <c r="F6" s="330" t="s">
        <v>11</v>
      </c>
      <c r="G6" s="32" t="s">
        <v>12</v>
      </c>
      <c r="H6" s="33" t="s">
        <v>11</v>
      </c>
      <c r="I6" s="32" t="s">
        <v>12</v>
      </c>
      <c r="J6" s="1298"/>
      <c r="K6" s="1321"/>
    </row>
    <row r="7" spans="1:18">
      <c r="A7" s="462">
        <v>3</v>
      </c>
      <c r="B7" s="463" t="s">
        <v>120</v>
      </c>
      <c r="C7" s="464"/>
      <c r="D7" s="465"/>
      <c r="E7" s="462"/>
      <c r="F7" s="330"/>
      <c r="G7" s="32"/>
      <c r="H7" s="33"/>
      <c r="I7" s="32"/>
      <c r="J7" s="466"/>
      <c r="K7" s="467"/>
    </row>
    <row r="8" spans="1:18">
      <c r="A8" s="115">
        <v>3.1</v>
      </c>
      <c r="B8" s="468" t="s">
        <v>176</v>
      </c>
      <c r="C8" s="185"/>
      <c r="D8" s="117"/>
      <c r="E8" s="264" t="s">
        <v>33</v>
      </c>
      <c r="F8" s="322"/>
      <c r="G8" s="331"/>
      <c r="H8" s="332"/>
      <c r="I8" s="53"/>
      <c r="J8" s="321"/>
      <c r="K8" s="333"/>
      <c r="N8" s="30">
        <v>4205</v>
      </c>
      <c r="O8" s="30">
        <v>4055</v>
      </c>
    </row>
    <row r="9" spans="1:18">
      <c r="A9" s="39"/>
      <c r="B9" s="335" t="s">
        <v>35</v>
      </c>
      <c r="C9" s="250"/>
      <c r="D9" s="469"/>
      <c r="E9" s="105"/>
      <c r="F9" s="69"/>
      <c r="G9" s="300"/>
      <c r="H9" s="300"/>
      <c r="I9" s="69"/>
      <c r="J9" s="69">
        <f t="shared" ref="J9:J16" si="0">I9+G9</f>
        <v>0</v>
      </c>
      <c r="K9" s="315"/>
    </row>
    <row r="10" spans="1:18" hidden="1">
      <c r="A10" s="39"/>
      <c r="B10" s="298" t="s">
        <v>101</v>
      </c>
      <c r="C10" s="250"/>
      <c r="D10" s="469">
        <v>0</v>
      </c>
      <c r="E10" s="105" t="s">
        <v>113</v>
      </c>
      <c r="F10" s="69">
        <v>150</v>
      </c>
      <c r="G10" s="69">
        <f t="shared" ref="G10:G16" si="1">D10*F10</f>
        <v>0</v>
      </c>
      <c r="H10" s="300">
        <v>50</v>
      </c>
      <c r="I10" s="69">
        <f t="shared" ref="I10:I16" si="2">SUM(D10*H10)</f>
        <v>0</v>
      </c>
      <c r="J10" s="69">
        <f t="shared" si="0"/>
        <v>0</v>
      </c>
      <c r="K10" s="304"/>
      <c r="M10" s="470" t="s">
        <v>344</v>
      </c>
      <c r="N10" s="4" t="s">
        <v>17</v>
      </c>
      <c r="O10" s="5">
        <v>1</v>
      </c>
      <c r="P10" s="5">
        <v>5000</v>
      </c>
      <c r="Q10" s="6">
        <f t="shared" ref="Q10:Q24" si="3">O10*P10</f>
        <v>5000</v>
      </c>
      <c r="R10" s="6">
        <v>500</v>
      </c>
    </row>
    <row r="11" spans="1:18">
      <c r="A11" s="39"/>
      <c r="B11" s="335" t="s">
        <v>343</v>
      </c>
      <c r="C11" s="307"/>
      <c r="D11" s="469">
        <v>3</v>
      </c>
      <c r="E11" s="105" t="s">
        <v>113</v>
      </c>
      <c r="F11" s="305">
        <v>100</v>
      </c>
      <c r="G11" s="69">
        <f t="shared" si="1"/>
        <v>300</v>
      </c>
      <c r="H11" s="300"/>
      <c r="I11" s="69">
        <f t="shared" si="2"/>
        <v>0</v>
      </c>
      <c r="J11" s="69">
        <f t="shared" si="0"/>
        <v>300</v>
      </c>
      <c r="K11" s="304"/>
      <c r="M11" s="470" t="s">
        <v>345</v>
      </c>
      <c r="N11" s="4" t="s">
        <v>17</v>
      </c>
      <c r="O11" s="5">
        <v>1</v>
      </c>
      <c r="P11" s="5">
        <v>1000</v>
      </c>
      <c r="Q11" s="6">
        <f t="shared" si="3"/>
        <v>1000</v>
      </c>
      <c r="R11" s="6">
        <v>500</v>
      </c>
    </row>
    <row r="12" spans="1:18">
      <c r="A12" s="39"/>
      <c r="B12" s="324" t="s">
        <v>359</v>
      </c>
      <c r="C12" s="250"/>
      <c r="D12" s="69"/>
      <c r="E12" s="105"/>
      <c r="F12" s="69"/>
      <c r="G12" s="69">
        <f t="shared" si="1"/>
        <v>0</v>
      </c>
      <c r="H12" s="471"/>
      <c r="I12" s="69">
        <f t="shared" si="2"/>
        <v>0</v>
      </c>
      <c r="J12" s="69">
        <f t="shared" si="0"/>
        <v>0</v>
      </c>
      <c r="K12" s="350"/>
      <c r="M12" s="470" t="s">
        <v>346</v>
      </c>
      <c r="N12" s="4" t="s">
        <v>17</v>
      </c>
      <c r="O12" s="5">
        <v>1</v>
      </c>
      <c r="P12" s="5">
        <v>500</v>
      </c>
      <c r="Q12" s="6">
        <f t="shared" si="3"/>
        <v>500</v>
      </c>
      <c r="R12" s="6">
        <v>500</v>
      </c>
    </row>
    <row r="13" spans="1:18">
      <c r="A13" s="39"/>
      <c r="B13" s="324" t="s">
        <v>360</v>
      </c>
      <c r="C13" s="250"/>
      <c r="D13" s="69">
        <v>6</v>
      </c>
      <c r="E13" s="105" t="s">
        <v>191</v>
      </c>
      <c r="F13" s="305">
        <v>90</v>
      </c>
      <c r="G13" s="69">
        <f t="shared" si="1"/>
        <v>540</v>
      </c>
      <c r="H13" s="300">
        <v>30</v>
      </c>
      <c r="I13" s="69">
        <f t="shared" si="2"/>
        <v>180</v>
      </c>
      <c r="J13" s="69">
        <f t="shared" si="0"/>
        <v>720</v>
      </c>
      <c r="K13" s="325"/>
      <c r="M13" s="470" t="s">
        <v>347</v>
      </c>
      <c r="N13" s="4" t="s">
        <v>332</v>
      </c>
      <c r="O13" s="5">
        <v>32</v>
      </c>
      <c r="P13" s="5">
        <v>20</v>
      </c>
      <c r="Q13" s="6">
        <f t="shared" si="3"/>
        <v>640</v>
      </c>
      <c r="R13" s="6">
        <v>30</v>
      </c>
    </row>
    <row r="14" spans="1:18">
      <c r="A14" s="268"/>
      <c r="B14" s="352" t="s">
        <v>361</v>
      </c>
      <c r="C14" s="313"/>
      <c r="D14" s="472">
        <v>3</v>
      </c>
      <c r="E14" s="312" t="s">
        <v>191</v>
      </c>
      <c r="F14" s="302">
        <v>140</v>
      </c>
      <c r="G14" s="69">
        <f t="shared" si="1"/>
        <v>420</v>
      </c>
      <c r="H14" s="303">
        <v>45</v>
      </c>
      <c r="I14" s="69">
        <f t="shared" si="2"/>
        <v>135</v>
      </c>
      <c r="J14" s="69">
        <f t="shared" si="0"/>
        <v>555</v>
      </c>
      <c r="K14" s="325"/>
      <c r="M14" s="470" t="s">
        <v>348</v>
      </c>
      <c r="N14" s="4" t="s">
        <v>332</v>
      </c>
      <c r="O14" s="5">
        <v>16</v>
      </c>
      <c r="P14" s="5">
        <v>14</v>
      </c>
      <c r="Q14" s="6">
        <f t="shared" si="3"/>
        <v>224</v>
      </c>
      <c r="R14" s="6">
        <v>30</v>
      </c>
    </row>
    <row r="15" spans="1:18">
      <c r="A15" s="268"/>
      <c r="B15" s="352" t="s">
        <v>362</v>
      </c>
      <c r="C15" s="313"/>
      <c r="D15" s="302">
        <v>2</v>
      </c>
      <c r="E15" s="312" t="s">
        <v>191</v>
      </c>
      <c r="F15" s="342">
        <v>70</v>
      </c>
      <c r="G15" s="69">
        <f t="shared" si="1"/>
        <v>140</v>
      </c>
      <c r="H15" s="303">
        <v>25</v>
      </c>
      <c r="I15" s="69">
        <f t="shared" si="2"/>
        <v>50</v>
      </c>
      <c r="J15" s="69">
        <f t="shared" si="0"/>
        <v>190</v>
      </c>
      <c r="K15" s="325"/>
      <c r="M15" s="470" t="s">
        <v>349</v>
      </c>
      <c r="N15" s="4" t="s">
        <v>332</v>
      </c>
      <c r="O15" s="5">
        <v>24</v>
      </c>
      <c r="P15" s="5">
        <v>10</v>
      </c>
      <c r="Q15" s="6">
        <f t="shared" si="3"/>
        <v>240</v>
      </c>
      <c r="R15" s="6">
        <v>30</v>
      </c>
    </row>
    <row r="16" spans="1:18">
      <c r="A16" s="39"/>
      <c r="B16" s="324" t="s">
        <v>98</v>
      </c>
      <c r="C16" s="250"/>
      <c r="D16" s="69">
        <v>1</v>
      </c>
      <c r="E16" s="105" t="s">
        <v>114</v>
      </c>
      <c r="F16" s="305">
        <v>3000</v>
      </c>
      <c r="G16" s="69">
        <f t="shared" si="1"/>
        <v>3000</v>
      </c>
      <c r="H16" s="300"/>
      <c r="I16" s="69">
        <f t="shared" si="2"/>
        <v>0</v>
      </c>
      <c r="J16" s="69">
        <f t="shared" si="0"/>
        <v>3000</v>
      </c>
      <c r="K16" s="325"/>
      <c r="M16" s="470" t="s">
        <v>350</v>
      </c>
      <c r="N16" s="4" t="s">
        <v>321</v>
      </c>
      <c r="O16" s="5">
        <v>2</v>
      </c>
      <c r="P16" s="5">
        <v>150</v>
      </c>
      <c r="Q16" s="6">
        <f t="shared" si="3"/>
        <v>300</v>
      </c>
      <c r="R16" s="6">
        <v>80</v>
      </c>
    </row>
    <row r="17" spans="1:18">
      <c r="A17" s="39"/>
      <c r="B17" s="324"/>
      <c r="C17" s="250"/>
      <c r="D17" s="69"/>
      <c r="E17" s="105"/>
      <c r="F17" s="305"/>
      <c r="G17" s="69"/>
      <c r="H17" s="314"/>
      <c r="I17" s="69"/>
      <c r="J17" s="69"/>
      <c r="K17" s="304"/>
      <c r="M17" s="470" t="s">
        <v>351</v>
      </c>
      <c r="N17" s="4" t="s">
        <v>321</v>
      </c>
      <c r="O17" s="5">
        <v>2</v>
      </c>
      <c r="P17" s="5">
        <v>100</v>
      </c>
      <c r="Q17" s="6">
        <f t="shared" si="3"/>
        <v>200</v>
      </c>
      <c r="R17" s="6">
        <v>50</v>
      </c>
    </row>
    <row r="18" spans="1:18">
      <c r="A18" s="51"/>
      <c r="B18" s="35" t="s">
        <v>223</v>
      </c>
      <c r="C18" s="310"/>
      <c r="D18" s="117"/>
      <c r="E18" s="319"/>
      <c r="F18" s="52"/>
      <c r="G18" s="52">
        <f>SUM(G9:G17)</f>
        <v>4400</v>
      </c>
      <c r="H18" s="52"/>
      <c r="I18" s="52">
        <f>SUM(I9:I17)</f>
        <v>365</v>
      </c>
      <c r="J18" s="52">
        <f>SUM(J9:J17)</f>
        <v>4765</v>
      </c>
      <c r="K18" s="473"/>
      <c r="M18" s="470" t="s">
        <v>352</v>
      </c>
      <c r="N18" s="4" t="s">
        <v>321</v>
      </c>
      <c r="O18" s="5">
        <v>1</v>
      </c>
      <c r="P18" s="5">
        <v>150</v>
      </c>
      <c r="Q18" s="6">
        <f t="shared" si="3"/>
        <v>150</v>
      </c>
      <c r="R18" s="6">
        <v>50</v>
      </c>
    </row>
    <row r="19" spans="1:18">
      <c r="A19" s="238">
        <v>3.2</v>
      </c>
      <c r="B19" s="323" t="s">
        <v>104</v>
      </c>
      <c r="C19" s="301"/>
      <c r="D19" s="472"/>
      <c r="E19" s="312" t="s">
        <v>33</v>
      </c>
      <c r="F19" s="302"/>
      <c r="G19" s="302">
        <f t="shared" ref="G19:G27" si="4">D19*F19</f>
        <v>0</v>
      </c>
      <c r="H19" s="303"/>
      <c r="I19" s="302">
        <f t="shared" ref="I19:I24" si="5">SUM(D19*H19)</f>
        <v>0</v>
      </c>
      <c r="J19" s="302">
        <f t="shared" ref="J19:J27" si="6">I19+G19</f>
        <v>0</v>
      </c>
      <c r="K19" s="337"/>
      <c r="M19" s="470" t="s">
        <v>353</v>
      </c>
      <c r="N19" s="4" t="s">
        <v>332</v>
      </c>
      <c r="O19" s="5">
        <v>4</v>
      </c>
      <c r="P19" s="5">
        <v>80</v>
      </c>
      <c r="Q19" s="6">
        <f t="shared" si="3"/>
        <v>320</v>
      </c>
      <c r="R19" s="6">
        <v>75</v>
      </c>
    </row>
    <row r="20" spans="1:18">
      <c r="A20" s="39"/>
      <c r="B20" s="324" t="s">
        <v>363</v>
      </c>
      <c r="C20" s="250"/>
      <c r="D20" s="69"/>
      <c r="E20" s="105"/>
      <c r="F20" s="69"/>
      <c r="G20" s="69">
        <f t="shared" si="4"/>
        <v>0</v>
      </c>
      <c r="H20" s="471"/>
      <c r="I20" s="69">
        <f t="shared" si="5"/>
        <v>0</v>
      </c>
      <c r="J20" s="69">
        <f t="shared" si="6"/>
        <v>0</v>
      </c>
      <c r="K20" s="350"/>
      <c r="M20" s="470" t="s">
        <v>354</v>
      </c>
      <c r="N20" s="4" t="s">
        <v>332</v>
      </c>
      <c r="O20" s="5">
        <v>20</v>
      </c>
      <c r="P20" s="5">
        <v>120</v>
      </c>
      <c r="Q20" s="6">
        <f t="shared" si="3"/>
        <v>2400</v>
      </c>
      <c r="R20" s="6">
        <v>50</v>
      </c>
    </row>
    <row r="21" spans="1:18">
      <c r="A21" s="39"/>
      <c r="B21" s="324" t="s">
        <v>105</v>
      </c>
      <c r="C21" s="250"/>
      <c r="D21" s="69">
        <v>4</v>
      </c>
      <c r="E21" s="105" t="s">
        <v>191</v>
      </c>
      <c r="F21" s="305">
        <v>820</v>
      </c>
      <c r="G21" s="69">
        <f t="shared" si="4"/>
        <v>3280</v>
      </c>
      <c r="H21" s="300">
        <v>100</v>
      </c>
      <c r="I21" s="69">
        <f t="shared" si="5"/>
        <v>400</v>
      </c>
      <c r="J21" s="69">
        <f t="shared" si="6"/>
        <v>3680</v>
      </c>
      <c r="K21" s="325"/>
      <c r="M21" s="470" t="s">
        <v>355</v>
      </c>
      <c r="N21" s="4" t="s">
        <v>332</v>
      </c>
      <c r="O21" s="5">
        <v>16</v>
      </c>
      <c r="P21" s="5">
        <v>75</v>
      </c>
      <c r="Q21" s="6">
        <f t="shared" si="3"/>
        <v>1200</v>
      </c>
      <c r="R21" s="6">
        <v>50</v>
      </c>
    </row>
    <row r="22" spans="1:18" hidden="1">
      <c r="A22" s="268"/>
      <c r="B22" s="352" t="s">
        <v>106</v>
      </c>
      <c r="C22" s="313"/>
      <c r="D22" s="472">
        <v>0</v>
      </c>
      <c r="E22" s="312" t="s">
        <v>59</v>
      </c>
      <c r="F22" s="302"/>
      <c r="G22" s="69">
        <f t="shared" si="4"/>
        <v>0</v>
      </c>
      <c r="H22" s="303"/>
      <c r="I22" s="69">
        <f t="shared" si="5"/>
        <v>0</v>
      </c>
      <c r="J22" s="69">
        <f t="shared" si="6"/>
        <v>0</v>
      </c>
      <c r="K22" s="325"/>
      <c r="M22" s="470" t="s">
        <v>356</v>
      </c>
      <c r="N22" s="4" t="s">
        <v>17</v>
      </c>
      <c r="O22" s="5">
        <v>1</v>
      </c>
      <c r="P22" s="5">
        <v>1000</v>
      </c>
      <c r="Q22" s="6">
        <f t="shared" si="3"/>
        <v>1000</v>
      </c>
      <c r="R22" s="6">
        <v>150</v>
      </c>
    </row>
    <row r="23" spans="1:18">
      <c r="A23" s="268"/>
      <c r="B23" s="352" t="s">
        <v>107</v>
      </c>
      <c r="C23" s="313"/>
      <c r="D23" s="302">
        <v>4</v>
      </c>
      <c r="E23" s="312" t="s">
        <v>191</v>
      </c>
      <c r="F23" s="342">
        <v>250</v>
      </c>
      <c r="G23" s="69">
        <f t="shared" si="4"/>
        <v>1000</v>
      </c>
      <c r="H23" s="303">
        <v>50</v>
      </c>
      <c r="I23" s="69">
        <f t="shared" si="5"/>
        <v>200</v>
      </c>
      <c r="J23" s="69">
        <f t="shared" si="6"/>
        <v>1200</v>
      </c>
      <c r="K23" s="325"/>
      <c r="M23" s="470" t="s">
        <v>357</v>
      </c>
      <c r="N23" s="4" t="s">
        <v>17</v>
      </c>
      <c r="O23" s="5">
        <v>2</v>
      </c>
      <c r="P23" s="5">
        <v>500</v>
      </c>
      <c r="Q23" s="6">
        <f t="shared" si="3"/>
        <v>1000</v>
      </c>
      <c r="R23" s="6">
        <v>100</v>
      </c>
    </row>
    <row r="24" spans="1:18">
      <c r="A24" s="39"/>
      <c r="B24" s="324" t="s">
        <v>98</v>
      </c>
      <c r="C24" s="250"/>
      <c r="D24" s="69">
        <v>1</v>
      </c>
      <c r="E24" s="105" t="s">
        <v>114</v>
      </c>
      <c r="F24" s="305">
        <v>3000</v>
      </c>
      <c r="G24" s="69">
        <f t="shared" si="4"/>
        <v>3000</v>
      </c>
      <c r="H24" s="300"/>
      <c r="I24" s="69">
        <f t="shared" si="5"/>
        <v>0</v>
      </c>
      <c r="J24" s="69">
        <f t="shared" si="6"/>
        <v>3000</v>
      </c>
      <c r="K24" s="325"/>
      <c r="M24" s="470" t="s">
        <v>358</v>
      </c>
      <c r="N24" s="4" t="s">
        <v>17</v>
      </c>
      <c r="O24" s="5">
        <v>1</v>
      </c>
      <c r="P24" s="5">
        <v>1000</v>
      </c>
      <c r="Q24" s="6">
        <f t="shared" si="3"/>
        <v>1000</v>
      </c>
      <c r="R24" s="6">
        <v>200</v>
      </c>
    </row>
    <row r="25" spans="1:18">
      <c r="A25" s="39"/>
      <c r="B25" s="324" t="s">
        <v>451</v>
      </c>
      <c r="C25" s="308"/>
      <c r="D25" s="353">
        <v>1</v>
      </c>
      <c r="E25" s="299" t="s">
        <v>67</v>
      </c>
      <c r="F25" s="69">
        <v>4000</v>
      </c>
      <c r="G25" s="69">
        <f t="shared" si="4"/>
        <v>4000</v>
      </c>
      <c r="H25" s="300">
        <v>1500</v>
      </c>
      <c r="I25" s="69">
        <f t="shared" ref="I25" si="7">SUM(D25*H25)</f>
        <v>1500</v>
      </c>
      <c r="J25" s="69">
        <f t="shared" ref="J25:J26" si="8">I25+G25</f>
        <v>5500</v>
      </c>
      <c r="K25" s="325"/>
    </row>
    <row r="26" spans="1:18">
      <c r="A26" s="39"/>
      <c r="B26" s="324" t="s">
        <v>390</v>
      </c>
      <c r="C26" s="308"/>
      <c r="D26" s="353">
        <v>5</v>
      </c>
      <c r="E26" s="299" t="s">
        <v>67</v>
      </c>
      <c r="F26" s="69">
        <v>850</v>
      </c>
      <c r="G26" s="69">
        <f t="shared" si="4"/>
        <v>4250</v>
      </c>
      <c r="H26" s="300">
        <v>300</v>
      </c>
      <c r="I26" s="69">
        <f t="shared" ref="I26" si="9">SUM(D26*H26)</f>
        <v>1500</v>
      </c>
      <c r="J26" s="69">
        <f t="shared" si="8"/>
        <v>5750</v>
      </c>
      <c r="K26" s="325"/>
    </row>
    <row r="27" spans="1:18">
      <c r="A27" s="39"/>
      <c r="B27" s="324" t="s">
        <v>430</v>
      </c>
      <c r="C27" s="308"/>
      <c r="D27" s="353">
        <v>2</v>
      </c>
      <c r="E27" s="299" t="s">
        <v>67</v>
      </c>
      <c r="F27" s="69">
        <v>1500</v>
      </c>
      <c r="G27" s="69">
        <f t="shared" si="4"/>
        <v>3000</v>
      </c>
      <c r="H27" s="300">
        <v>500</v>
      </c>
      <c r="I27" s="69">
        <f t="shared" ref="I27" si="10">SUM(D27*H27)</f>
        <v>1000</v>
      </c>
      <c r="J27" s="69">
        <f t="shared" si="6"/>
        <v>4000</v>
      </c>
      <c r="K27" s="325"/>
    </row>
    <row r="28" spans="1:18">
      <c r="A28" s="95"/>
      <c r="B28" s="351"/>
      <c r="C28" s="346"/>
      <c r="D28" s="417"/>
      <c r="E28" s="474"/>
      <c r="F28" s="347"/>
      <c r="G28" s="347"/>
      <c r="H28" s="348"/>
      <c r="I28" s="347"/>
      <c r="J28" s="347"/>
      <c r="K28" s="475"/>
    </row>
    <row r="29" spans="1:18" ht="23.25" customHeight="1">
      <c r="A29" s="51"/>
      <c r="B29" s="35" t="s">
        <v>226</v>
      </c>
      <c r="C29" s="476">
        <v>158.38</v>
      </c>
      <c r="D29" s="52"/>
      <c r="E29" s="51"/>
      <c r="F29" s="52"/>
      <c r="G29" s="356">
        <f>SUM(G21:G27)</f>
        <v>18530</v>
      </c>
      <c r="H29" s="356"/>
      <c r="I29" s="356">
        <f>SUM(I21:I27)</f>
        <v>4600</v>
      </c>
      <c r="J29" s="320">
        <f>SUM(J21:J27)</f>
        <v>23130</v>
      </c>
      <c r="K29" s="357"/>
    </row>
    <row r="30" spans="1:18">
      <c r="A30" s="41">
        <v>3.3</v>
      </c>
      <c r="B30" s="349" t="s">
        <v>108</v>
      </c>
      <c r="C30" s="359">
        <v>126.28</v>
      </c>
      <c r="D30" s="69"/>
      <c r="E30" s="39" t="s">
        <v>33</v>
      </c>
      <c r="F30" s="69"/>
      <c r="G30" s="43"/>
      <c r="H30" s="44"/>
      <c r="I30" s="43"/>
      <c r="J30" s="43"/>
      <c r="K30" s="477"/>
    </row>
    <row r="31" spans="1:18">
      <c r="A31" s="39"/>
      <c r="B31" s="324" t="s">
        <v>501</v>
      </c>
      <c r="C31" s="359">
        <v>246.66</v>
      </c>
      <c r="D31" s="69"/>
      <c r="E31" s="39"/>
      <c r="F31" s="69"/>
      <c r="G31" s="69">
        <f t="shared" ref="G31:G36" si="11">D31*F31</f>
        <v>0</v>
      </c>
      <c r="H31" s="44"/>
      <c r="I31" s="69">
        <f t="shared" ref="I31:I36" si="12">SUM(D31*H31)</f>
        <v>0</v>
      </c>
      <c r="J31" s="69">
        <f t="shared" ref="J31:J36" si="13">I31+G31</f>
        <v>0</v>
      </c>
      <c r="K31" s="477"/>
    </row>
    <row r="32" spans="1:18">
      <c r="A32" s="41"/>
      <c r="B32" s="324" t="s">
        <v>99</v>
      </c>
      <c r="C32" s="250"/>
      <c r="D32" s="69">
        <v>1</v>
      </c>
      <c r="E32" s="39" t="s">
        <v>502</v>
      </c>
      <c r="F32" s="69">
        <v>200</v>
      </c>
      <c r="G32" s="69">
        <f t="shared" si="11"/>
        <v>200</v>
      </c>
      <c r="H32" s="44">
        <v>50</v>
      </c>
      <c r="I32" s="69">
        <f t="shared" si="12"/>
        <v>50</v>
      </c>
      <c r="J32" s="69">
        <f>I32+G32</f>
        <v>250</v>
      </c>
      <c r="K32" s="304"/>
    </row>
    <row r="33" spans="1:11" hidden="1">
      <c r="A33" s="238"/>
      <c r="B33" s="352" t="s">
        <v>100</v>
      </c>
      <c r="C33" s="313"/>
      <c r="D33" s="302">
        <v>0</v>
      </c>
      <c r="E33" s="268" t="s">
        <v>59</v>
      </c>
      <c r="F33" s="302"/>
      <c r="G33" s="69">
        <f t="shared" si="11"/>
        <v>0</v>
      </c>
      <c r="H33" s="270"/>
      <c r="I33" s="69">
        <f t="shared" si="12"/>
        <v>0</v>
      </c>
      <c r="J33" s="69">
        <f>I33+G33</f>
        <v>0</v>
      </c>
      <c r="K33" s="304"/>
    </row>
    <row r="34" spans="1:11">
      <c r="A34" s="238"/>
      <c r="B34" s="352" t="s">
        <v>98</v>
      </c>
      <c r="C34" s="313"/>
      <c r="D34" s="302">
        <v>1</v>
      </c>
      <c r="E34" s="268" t="s">
        <v>114</v>
      </c>
      <c r="F34" s="302">
        <v>2000</v>
      </c>
      <c r="G34" s="69">
        <f>D34*F34</f>
        <v>2000</v>
      </c>
      <c r="H34" s="364">
        <v>150</v>
      </c>
      <c r="I34" s="69">
        <f t="shared" si="12"/>
        <v>150</v>
      </c>
      <c r="J34" s="69">
        <f t="shared" si="13"/>
        <v>2150</v>
      </c>
      <c r="K34" s="304"/>
    </row>
    <row r="35" spans="1:11" ht="19.5" hidden="1" customHeight="1">
      <c r="A35" s="268"/>
      <c r="B35" s="352" t="s">
        <v>102</v>
      </c>
      <c r="C35" s="313"/>
      <c r="D35" s="302"/>
      <c r="E35" s="268" t="s">
        <v>114</v>
      </c>
      <c r="F35" s="302"/>
      <c r="G35" s="69">
        <f t="shared" si="11"/>
        <v>0</v>
      </c>
      <c r="H35" s="364"/>
      <c r="I35" s="69">
        <f t="shared" si="12"/>
        <v>0</v>
      </c>
      <c r="J35" s="69">
        <f t="shared" si="13"/>
        <v>0</v>
      </c>
      <c r="K35" s="304"/>
    </row>
    <row r="36" spans="1:11" hidden="1">
      <c r="A36" s="258"/>
      <c r="B36" s="354" t="s">
        <v>103</v>
      </c>
      <c r="C36" s="355">
        <f>2886.98+760.6</f>
        <v>3647.58</v>
      </c>
      <c r="D36" s="336"/>
      <c r="E36" s="258" t="s">
        <v>114</v>
      </c>
      <c r="F36" s="336"/>
      <c r="G36" s="336">
        <f t="shared" si="11"/>
        <v>0</v>
      </c>
      <c r="H36" s="478"/>
      <c r="I36" s="336">
        <f t="shared" si="12"/>
        <v>0</v>
      </c>
      <c r="J36" s="336">
        <f t="shared" si="13"/>
        <v>0</v>
      </c>
      <c r="K36" s="479"/>
    </row>
    <row r="37" spans="1:11">
      <c r="A37" s="258"/>
      <c r="B37" s="354"/>
      <c r="C37" s="355"/>
      <c r="D37" s="336"/>
      <c r="E37" s="258"/>
      <c r="F37" s="336"/>
      <c r="G37" s="336"/>
      <c r="H37" s="385"/>
      <c r="I37" s="336"/>
      <c r="J37" s="336"/>
      <c r="K37" s="480"/>
    </row>
    <row r="38" spans="1:11">
      <c r="A38" s="115"/>
      <c r="B38" s="35" t="s">
        <v>225</v>
      </c>
      <c r="C38" s="476"/>
      <c r="D38" s="481"/>
      <c r="E38" s="51"/>
      <c r="F38" s="481"/>
      <c r="G38" s="481">
        <f>SUM(G31:G36)</f>
        <v>2200</v>
      </c>
      <c r="H38" s="371"/>
      <c r="I38" s="481">
        <f>SUM(I31:I36)</f>
        <v>200</v>
      </c>
      <c r="J38" s="52">
        <f>SUM(J31:J36)</f>
        <v>2400</v>
      </c>
      <c r="K38" s="365"/>
    </row>
    <row r="39" spans="1:11" hidden="1">
      <c r="A39" s="39">
        <v>3.4</v>
      </c>
      <c r="B39" s="324" t="s">
        <v>109</v>
      </c>
      <c r="C39" s="359" t="e">
        <f>#REF!*2</f>
        <v>#REF!</v>
      </c>
      <c r="D39" s="69"/>
      <c r="E39" s="39" t="s">
        <v>33</v>
      </c>
      <c r="F39" s="69"/>
      <c r="G39" s="43"/>
      <c r="H39" s="44"/>
      <c r="I39" s="43"/>
      <c r="J39" s="43"/>
      <c r="K39" s="337"/>
    </row>
    <row r="40" spans="1:11" hidden="1">
      <c r="A40" s="39" t="s">
        <v>172</v>
      </c>
      <c r="B40" s="324" t="s">
        <v>363</v>
      </c>
      <c r="C40" s="250"/>
      <c r="D40" s="69"/>
      <c r="E40" s="39"/>
      <c r="F40" s="69"/>
      <c r="G40" s="43"/>
      <c r="H40" s="44"/>
      <c r="I40" s="43"/>
      <c r="J40" s="43"/>
      <c r="K40" s="306"/>
    </row>
    <row r="41" spans="1:11" hidden="1">
      <c r="A41" s="39"/>
      <c r="B41" s="324" t="s">
        <v>365</v>
      </c>
      <c r="C41" s="250"/>
      <c r="D41" s="69">
        <v>0</v>
      </c>
      <c r="E41" s="105" t="s">
        <v>59</v>
      </c>
      <c r="F41" s="305"/>
      <c r="G41" s="69">
        <f t="shared" ref="G41" si="14">D41*F41</f>
        <v>0</v>
      </c>
      <c r="H41" s="300"/>
      <c r="I41" s="69">
        <f t="shared" ref="I41" si="15">SUM(D41*H41)</f>
        <v>0</v>
      </c>
      <c r="J41" s="69">
        <f t="shared" ref="J41" si="16">I41+G41</f>
        <v>0</v>
      </c>
      <c r="K41" s="304"/>
    </row>
    <row r="42" spans="1:11" hidden="1">
      <c r="A42" s="39"/>
      <c r="B42" s="324" t="s">
        <v>98</v>
      </c>
      <c r="C42" s="359"/>
      <c r="D42" s="69">
        <v>0</v>
      </c>
      <c r="E42" s="39" t="s">
        <v>114</v>
      </c>
      <c r="F42" s="69"/>
      <c r="G42" s="69">
        <f t="shared" ref="G42:G51" si="17">D42*F42</f>
        <v>0</v>
      </c>
      <c r="H42" s="44"/>
      <c r="I42" s="69">
        <f t="shared" ref="I42" si="18">SUM(D42*H42)</f>
        <v>0</v>
      </c>
      <c r="J42" s="69">
        <f t="shared" ref="J42" si="19">I42+G42</f>
        <v>0</v>
      </c>
      <c r="K42" s="304"/>
    </row>
    <row r="43" spans="1:11" hidden="1">
      <c r="A43" s="39" t="s">
        <v>173</v>
      </c>
      <c r="B43" s="324" t="s">
        <v>110</v>
      </c>
      <c r="C43" s="359">
        <v>142.5</v>
      </c>
      <c r="D43" s="69"/>
      <c r="E43" s="39"/>
      <c r="F43" s="69"/>
      <c r="G43" s="69">
        <f t="shared" ref="G43:G48" si="20">D43*F43</f>
        <v>0</v>
      </c>
      <c r="H43" s="44"/>
      <c r="I43" s="69">
        <f t="shared" ref="I43:I51" si="21">SUM(D43*H43)</f>
        <v>0</v>
      </c>
      <c r="J43" s="69">
        <f t="shared" ref="J43:J51" si="22">I43+G43</f>
        <v>0</v>
      </c>
      <c r="K43" s="306"/>
    </row>
    <row r="44" spans="1:11" hidden="1">
      <c r="A44" s="39"/>
      <c r="B44" s="324" t="s">
        <v>365</v>
      </c>
      <c r="C44" s="359"/>
      <c r="D44" s="69">
        <v>0</v>
      </c>
      <c r="E44" s="39" t="s">
        <v>113</v>
      </c>
      <c r="F44" s="69"/>
      <c r="G44" s="69">
        <f t="shared" si="17"/>
        <v>0</v>
      </c>
      <c r="H44" s="300"/>
      <c r="I44" s="69">
        <f t="shared" si="21"/>
        <v>0</v>
      </c>
      <c r="J44" s="69">
        <f>I44+G44</f>
        <v>0</v>
      </c>
      <c r="K44" s="304"/>
    </row>
    <row r="45" spans="1:11" hidden="1">
      <c r="A45" s="201" t="s">
        <v>174</v>
      </c>
      <c r="B45" s="324" t="s">
        <v>367</v>
      </c>
      <c r="C45" s="250"/>
      <c r="D45" s="69">
        <v>0</v>
      </c>
      <c r="E45" s="39" t="s">
        <v>113</v>
      </c>
      <c r="F45" s="69"/>
      <c r="G45" s="69">
        <f t="shared" ref="G45:G46" si="23">D45*F45</f>
        <v>0</v>
      </c>
      <c r="H45" s="345"/>
      <c r="I45" s="69">
        <f t="shared" ref="I45:I46" si="24">SUM(D45*H45)</f>
        <v>0</v>
      </c>
      <c r="J45" s="69">
        <f t="shared" ref="J45:J46" si="25">I45+G45</f>
        <v>0</v>
      </c>
      <c r="K45" s="304"/>
    </row>
    <row r="46" spans="1:11" hidden="1">
      <c r="A46" s="201" t="s">
        <v>175</v>
      </c>
      <c r="B46" s="324" t="s">
        <v>368</v>
      </c>
      <c r="C46" s="250"/>
      <c r="D46" s="69">
        <v>0</v>
      </c>
      <c r="E46" s="39" t="s">
        <v>59</v>
      </c>
      <c r="F46" s="69"/>
      <c r="G46" s="69">
        <f t="shared" si="23"/>
        <v>0</v>
      </c>
      <c r="H46" s="345"/>
      <c r="I46" s="69">
        <f t="shared" si="24"/>
        <v>0</v>
      </c>
      <c r="J46" s="69">
        <f t="shared" si="25"/>
        <v>0</v>
      </c>
      <c r="K46" s="304"/>
    </row>
    <row r="47" spans="1:11" hidden="1">
      <c r="A47" s="201"/>
      <c r="B47" s="324" t="s">
        <v>366</v>
      </c>
      <c r="C47" s="250"/>
      <c r="D47" s="69">
        <v>0</v>
      </c>
      <c r="E47" s="39" t="s">
        <v>59</v>
      </c>
      <c r="F47" s="69"/>
      <c r="G47" s="69">
        <f t="shared" si="17"/>
        <v>0</v>
      </c>
      <c r="H47" s="345"/>
      <c r="I47" s="69">
        <f t="shared" si="21"/>
        <v>0</v>
      </c>
      <c r="J47" s="69">
        <f t="shared" si="22"/>
        <v>0</v>
      </c>
      <c r="K47" s="304"/>
    </row>
    <row r="48" spans="1:11" hidden="1">
      <c r="A48" s="201"/>
      <c r="B48" s="352" t="s">
        <v>111</v>
      </c>
      <c r="C48" s="313"/>
      <c r="D48" s="302">
        <v>0</v>
      </c>
      <c r="E48" s="268"/>
      <c r="F48" s="302"/>
      <c r="G48" s="69">
        <f t="shared" si="20"/>
        <v>0</v>
      </c>
      <c r="H48" s="270"/>
      <c r="I48" s="69">
        <f t="shared" si="21"/>
        <v>0</v>
      </c>
      <c r="J48" s="69">
        <f t="shared" si="22"/>
        <v>0</v>
      </c>
      <c r="K48" s="337"/>
    </row>
    <row r="49" spans="1:11" hidden="1">
      <c r="A49" s="39"/>
      <c r="B49" s="324" t="s">
        <v>112</v>
      </c>
      <c r="C49" s="250"/>
      <c r="D49" s="69">
        <v>0</v>
      </c>
      <c r="E49" s="105" t="s">
        <v>113</v>
      </c>
      <c r="F49" s="69"/>
      <c r="G49" s="69">
        <f t="shared" si="17"/>
        <v>0</v>
      </c>
      <c r="H49" s="44"/>
      <c r="I49" s="69">
        <f t="shared" si="21"/>
        <v>0</v>
      </c>
      <c r="J49" s="69">
        <f t="shared" si="22"/>
        <v>0</v>
      </c>
      <c r="K49" s="304"/>
    </row>
    <row r="50" spans="1:11" hidden="1">
      <c r="A50" s="268"/>
      <c r="B50" s="352" t="s">
        <v>267</v>
      </c>
      <c r="C50" s="313"/>
      <c r="D50" s="69">
        <v>0</v>
      </c>
      <c r="E50" s="105" t="s">
        <v>113</v>
      </c>
      <c r="F50" s="69"/>
      <c r="G50" s="69">
        <f t="shared" ref="G50" si="26">D50*F50</f>
        <v>0</v>
      </c>
      <c r="H50" s="44"/>
      <c r="I50" s="69">
        <f t="shared" ref="I50" si="27">SUM(D50*H50)</f>
        <v>0</v>
      </c>
      <c r="J50" s="69">
        <f t="shared" ref="J50" si="28">I50+G50</f>
        <v>0</v>
      </c>
      <c r="K50" s="337"/>
    </row>
    <row r="51" spans="1:11" hidden="1">
      <c r="A51" s="39"/>
      <c r="B51" s="324" t="s">
        <v>102</v>
      </c>
      <c r="C51" s="250"/>
      <c r="D51" s="69">
        <v>0</v>
      </c>
      <c r="E51" s="39" t="s">
        <v>114</v>
      </c>
      <c r="F51" s="69"/>
      <c r="G51" s="69">
        <f t="shared" si="17"/>
        <v>0</v>
      </c>
      <c r="H51" s="44"/>
      <c r="I51" s="69">
        <f t="shared" si="21"/>
        <v>0</v>
      </c>
      <c r="J51" s="69">
        <f t="shared" si="22"/>
        <v>0</v>
      </c>
      <c r="K51" s="304"/>
    </row>
    <row r="52" spans="1:11" hidden="1">
      <c r="A52" s="95"/>
      <c r="B52" s="351"/>
      <c r="C52" s="366"/>
      <c r="D52" s="347"/>
      <c r="E52" s="95"/>
      <c r="F52" s="347"/>
      <c r="G52" s="347"/>
      <c r="H52" s="155"/>
      <c r="I52" s="347"/>
      <c r="J52" s="347"/>
      <c r="K52" s="479"/>
    </row>
    <row r="53" spans="1:11" hidden="1">
      <c r="A53" s="51"/>
      <c r="B53" s="35" t="s">
        <v>224</v>
      </c>
      <c r="C53" s="310"/>
      <c r="D53" s="481"/>
      <c r="E53" s="51"/>
      <c r="F53" s="481"/>
      <c r="G53" s="356">
        <f>SUM(G41:G51)</f>
        <v>0</v>
      </c>
      <c r="H53" s="371"/>
      <c r="I53" s="356">
        <f>SUM(I41:I51)</f>
        <v>0</v>
      </c>
      <c r="J53" s="356">
        <f>SUM(J41:J51)</f>
        <v>0</v>
      </c>
      <c r="K53" s="338"/>
    </row>
    <row r="54" spans="1:11">
      <c r="A54" s="283"/>
      <c r="B54" s="482"/>
      <c r="C54" s="366"/>
      <c r="D54" s="483"/>
      <c r="E54" s="95"/>
      <c r="F54" s="483"/>
      <c r="G54" s="484"/>
      <c r="H54" s="478"/>
      <c r="I54" s="484"/>
      <c r="J54" s="484"/>
      <c r="K54" s="367"/>
    </row>
    <row r="55" spans="1:11" ht="24.75" thickBot="1">
      <c r="A55" s="51"/>
      <c r="B55" s="35" t="s">
        <v>364</v>
      </c>
      <c r="C55" s="252"/>
      <c r="D55" s="322"/>
      <c r="E55" s="485"/>
      <c r="F55" s="486"/>
      <c r="G55" s="487">
        <f>G53+G38+G29+G18</f>
        <v>25130</v>
      </c>
      <c r="H55" s="487"/>
      <c r="I55" s="487">
        <f>I53+I38+I29+I18</f>
        <v>5165</v>
      </c>
      <c r="J55" s="487">
        <f>J53+J38+J29+J18</f>
        <v>30295</v>
      </c>
      <c r="K55" s="488"/>
    </row>
    <row r="56" spans="1:11">
      <c r="A56" s="268"/>
      <c r="B56" s="352"/>
      <c r="C56" s="376"/>
      <c r="D56" s="302"/>
      <c r="E56" s="268"/>
      <c r="F56" s="302"/>
      <c r="G56" s="377"/>
      <c r="H56" s="364"/>
      <c r="I56" s="358"/>
      <c r="J56" s="358"/>
      <c r="K56" s="489"/>
    </row>
    <row r="57" spans="1:11">
      <c r="A57" s="39"/>
      <c r="B57" s="324"/>
      <c r="C57" s="108"/>
      <c r="D57" s="69"/>
      <c r="E57" s="39"/>
      <c r="F57" s="69"/>
      <c r="G57" s="48"/>
      <c r="H57" s="345"/>
      <c r="I57" s="43"/>
      <c r="J57" s="43"/>
      <c r="K57" s="387"/>
    </row>
    <row r="58" spans="1:11">
      <c r="A58" s="39"/>
      <c r="B58" s="324"/>
      <c r="C58" s="108"/>
      <c r="D58" s="69"/>
      <c r="E58" s="39"/>
      <c r="F58" s="69"/>
      <c r="G58" s="48"/>
      <c r="H58" s="345"/>
      <c r="I58" s="43"/>
      <c r="J58" s="43"/>
      <c r="K58" s="387"/>
    </row>
    <row r="59" spans="1:11">
      <c r="A59" s="39"/>
      <c r="B59" s="324"/>
      <c r="C59" s="108"/>
      <c r="D59" s="69"/>
      <c r="E59" s="39"/>
      <c r="F59" s="69"/>
      <c r="G59" s="48"/>
      <c r="H59" s="345"/>
      <c r="I59" s="43"/>
      <c r="J59" s="43"/>
      <c r="K59" s="387"/>
    </row>
    <row r="60" spans="1:11">
      <c r="A60" s="39"/>
      <c r="B60" s="324"/>
      <c r="C60" s="108"/>
      <c r="D60" s="69"/>
      <c r="E60" s="39"/>
      <c r="F60" s="69"/>
      <c r="G60" s="48"/>
      <c r="H60" s="345"/>
      <c r="I60" s="43"/>
      <c r="J60" s="43"/>
      <c r="K60" s="387"/>
    </row>
    <row r="61" spans="1:11">
      <c r="A61" s="39"/>
      <c r="B61" s="324"/>
      <c r="C61" s="108"/>
      <c r="D61" s="69"/>
      <c r="E61" s="39"/>
      <c r="F61" s="69"/>
      <c r="G61" s="48"/>
      <c r="H61" s="345"/>
      <c r="I61" s="43"/>
      <c r="J61" s="43"/>
      <c r="K61" s="387"/>
    </row>
    <row r="62" spans="1:11">
      <c r="A62" s="39"/>
      <c r="B62" s="388"/>
      <c r="C62" s="108"/>
      <c r="D62" s="69"/>
      <c r="E62" s="39"/>
      <c r="F62" s="69"/>
      <c r="G62" s="48"/>
      <c r="H62" s="345"/>
      <c r="I62" s="43"/>
      <c r="J62" s="43"/>
      <c r="K62" s="387"/>
    </row>
    <row r="63" spans="1:11">
      <c r="A63" s="39"/>
      <c r="B63" s="324"/>
      <c r="C63" s="108"/>
      <c r="D63" s="69"/>
      <c r="E63" s="39"/>
      <c r="F63" s="69"/>
      <c r="G63" s="48"/>
      <c r="H63" s="345"/>
      <c r="I63" s="43"/>
      <c r="J63" s="43"/>
      <c r="K63" s="387"/>
    </row>
    <row r="64" spans="1:11">
      <c r="A64" s="39"/>
      <c r="B64" s="324"/>
      <c r="C64" s="108"/>
      <c r="D64" s="69"/>
      <c r="E64" s="39"/>
      <c r="F64" s="69"/>
      <c r="G64" s="48"/>
      <c r="H64" s="345"/>
      <c r="I64" s="43"/>
      <c r="J64" s="43"/>
      <c r="K64" s="369"/>
    </row>
    <row r="65" spans="1:11">
      <c r="A65" s="258"/>
      <c r="B65" s="324"/>
      <c r="C65" s="108"/>
      <c r="D65" s="69"/>
      <c r="E65" s="39"/>
      <c r="F65" s="69"/>
      <c r="G65" s="48"/>
      <c r="H65" s="345"/>
      <c r="I65" s="43"/>
      <c r="J65" s="43"/>
      <c r="K65" s="386"/>
    </row>
    <row r="66" spans="1:11">
      <c r="A66" s="258"/>
      <c r="B66" s="382"/>
      <c r="C66" s="383"/>
      <c r="D66" s="336"/>
      <c r="E66" s="258"/>
      <c r="F66" s="336"/>
      <c r="G66" s="384"/>
      <c r="H66" s="385"/>
      <c r="I66" s="360"/>
      <c r="J66" s="360"/>
      <c r="K66" s="386"/>
    </row>
    <row r="67" spans="1:11">
      <c r="A67" s="51"/>
      <c r="B67" s="35"/>
      <c r="C67" s="370"/>
      <c r="D67" s="52"/>
      <c r="E67" s="51"/>
      <c r="F67" s="52"/>
      <c r="G67" s="180"/>
      <c r="H67" s="371"/>
      <c r="I67" s="356"/>
      <c r="J67" s="356"/>
      <c r="K67" s="372"/>
    </row>
    <row r="68" spans="1:11">
      <c r="A68" s="41"/>
      <c r="B68" s="349"/>
      <c r="C68" s="108"/>
      <c r="D68" s="69"/>
      <c r="E68" s="39"/>
      <c r="F68" s="69"/>
      <c r="G68" s="48"/>
      <c r="H68" s="44"/>
      <c r="I68" s="43"/>
      <c r="J68" s="43"/>
      <c r="K68" s="373"/>
    </row>
    <row r="69" spans="1:11">
      <c r="A69" s="39"/>
      <c r="B69" s="324"/>
      <c r="C69" s="108"/>
      <c r="D69" s="69"/>
      <c r="E69" s="39"/>
      <c r="F69" s="69"/>
      <c r="G69" s="48"/>
      <c r="H69" s="345"/>
      <c r="I69" s="43"/>
      <c r="J69" s="43"/>
      <c r="K69" s="369"/>
    </row>
    <row r="70" spans="1:11">
      <c r="A70" s="39"/>
      <c r="B70" s="388"/>
      <c r="C70" s="345">
        <v>55.61</v>
      </c>
      <c r="D70" s="69"/>
      <c r="E70" s="39"/>
      <c r="F70" s="69"/>
      <c r="G70" s="48"/>
      <c r="H70" s="345"/>
      <c r="I70" s="43"/>
      <c r="J70" s="43"/>
      <c r="K70" s="369"/>
    </row>
    <row r="71" spans="1:11">
      <c r="A71" s="39"/>
      <c r="B71" s="388"/>
      <c r="C71" s="345">
        <v>11.9</v>
      </c>
      <c r="D71" s="69"/>
      <c r="E71" s="39"/>
      <c r="F71" s="69"/>
      <c r="G71" s="48"/>
      <c r="H71" s="345"/>
      <c r="I71" s="43"/>
      <c r="J71" s="43"/>
      <c r="K71" s="369"/>
    </row>
    <row r="72" spans="1:11">
      <c r="A72" s="39"/>
      <c r="B72" s="389"/>
      <c r="C72" s="345"/>
      <c r="D72" s="69"/>
      <c r="E72" s="39"/>
      <c r="F72" s="69"/>
      <c r="G72" s="48"/>
      <c r="H72" s="345"/>
      <c r="I72" s="43"/>
      <c r="J72" s="43"/>
      <c r="K72" s="369"/>
    </row>
    <row r="73" spans="1:11">
      <c r="A73" s="39"/>
      <c r="B73" s="324"/>
      <c r="C73" s="108"/>
      <c r="D73" s="69"/>
      <c r="E73" s="39"/>
      <c r="F73" s="69"/>
      <c r="G73" s="48"/>
      <c r="H73" s="345"/>
      <c r="I73" s="43"/>
      <c r="J73" s="43"/>
      <c r="K73" s="369"/>
    </row>
    <row r="74" spans="1:11">
      <c r="A74" s="39"/>
      <c r="B74" s="388"/>
      <c r="C74" s="345">
        <v>80.099999999999994</v>
      </c>
      <c r="D74" s="69"/>
      <c r="E74" s="39"/>
      <c r="F74" s="69"/>
      <c r="G74" s="48"/>
      <c r="H74" s="345"/>
      <c r="I74" s="43"/>
      <c r="J74" s="43"/>
      <c r="K74" s="369"/>
    </row>
    <row r="75" spans="1:11">
      <c r="A75" s="39"/>
      <c r="B75" s="388"/>
      <c r="C75" s="345">
        <v>110</v>
      </c>
      <c r="D75" s="69"/>
      <c r="E75" s="39"/>
      <c r="F75" s="69"/>
      <c r="G75" s="48"/>
      <c r="H75" s="345"/>
      <c r="I75" s="43"/>
      <c r="J75" s="43"/>
      <c r="K75" s="369"/>
    </row>
    <row r="76" spans="1:11" s="390" customFormat="1">
      <c r="A76" s="63"/>
      <c r="B76" s="391"/>
      <c r="C76" s="42"/>
      <c r="D76" s="69"/>
      <c r="E76" s="58"/>
      <c r="F76" s="69"/>
      <c r="G76" s="48"/>
      <c r="H76" s="345"/>
      <c r="I76" s="43"/>
      <c r="J76" s="43"/>
      <c r="K76" s="373"/>
    </row>
    <row r="77" spans="1:11" s="390" customFormat="1">
      <c r="A77" s="63"/>
      <c r="B77" s="391"/>
      <c r="C77" s="42"/>
      <c r="D77" s="69"/>
      <c r="E77" s="58"/>
      <c r="F77" s="69"/>
      <c r="G77" s="48"/>
      <c r="H77" s="300"/>
      <c r="I77" s="43"/>
      <c r="J77" s="69"/>
      <c r="K77" s="373"/>
    </row>
    <row r="78" spans="1:11" s="390" customFormat="1">
      <c r="A78" s="63"/>
      <c r="B78" s="392"/>
      <c r="C78" s="42"/>
      <c r="D78" s="69"/>
      <c r="E78" s="58"/>
      <c r="F78" s="69"/>
      <c r="G78" s="48"/>
      <c r="H78" s="300"/>
      <c r="I78" s="43"/>
      <c r="J78" s="69"/>
      <c r="K78" s="373"/>
    </row>
    <row r="79" spans="1:11" s="390" customFormat="1">
      <c r="A79" s="63"/>
      <c r="B79" s="393"/>
      <c r="C79" s="42"/>
      <c r="D79" s="69"/>
      <c r="E79" s="58"/>
      <c r="F79" s="69"/>
      <c r="G79" s="48"/>
      <c r="H79" s="345"/>
      <c r="I79" s="43"/>
      <c r="J79" s="43"/>
      <c r="K79" s="373"/>
    </row>
    <row r="80" spans="1:11" s="390" customFormat="1">
      <c r="A80" s="63"/>
      <c r="B80" s="392"/>
      <c r="C80" s="42"/>
      <c r="D80" s="69"/>
      <c r="E80" s="58"/>
      <c r="F80" s="69"/>
      <c r="G80" s="48"/>
      <c r="H80" s="345"/>
      <c r="I80" s="43"/>
      <c r="J80" s="43"/>
      <c r="K80" s="373"/>
    </row>
    <row r="81" spans="1:11">
      <c r="A81" s="51"/>
      <c r="B81" s="394"/>
      <c r="C81" s="370"/>
      <c r="D81" s="52"/>
      <c r="E81" s="51"/>
      <c r="F81" s="52"/>
      <c r="G81" s="180"/>
      <c r="H81" s="395"/>
      <c r="I81" s="356"/>
      <c r="J81" s="356"/>
      <c r="K81" s="396"/>
    </row>
    <row r="82" spans="1:11">
      <c r="A82" s="397"/>
      <c r="B82" s="361"/>
      <c r="C82" s="120"/>
      <c r="D82" s="296"/>
      <c r="E82" s="362"/>
      <c r="F82" s="296"/>
      <c r="G82" s="374"/>
      <c r="H82" s="38"/>
      <c r="I82" s="363"/>
      <c r="J82" s="363"/>
      <c r="K82" s="375"/>
    </row>
    <row r="83" spans="1:11">
      <c r="A83" s="398"/>
      <c r="B83" s="324"/>
      <c r="C83" s="345">
        <v>148</v>
      </c>
      <c r="D83" s="69"/>
      <c r="E83" s="39"/>
      <c r="F83" s="69"/>
      <c r="G83" s="48"/>
      <c r="H83" s="345"/>
      <c r="I83" s="43"/>
      <c r="J83" s="43"/>
      <c r="K83" s="378"/>
    </row>
    <row r="84" spans="1:11">
      <c r="A84" s="398"/>
      <c r="B84" s="324"/>
      <c r="C84" s="345">
        <v>149</v>
      </c>
      <c r="D84" s="69"/>
      <c r="E84" s="39"/>
      <c r="F84" s="69"/>
      <c r="G84" s="48"/>
      <c r="H84" s="345"/>
      <c r="I84" s="43"/>
      <c r="J84" s="43"/>
      <c r="K84" s="378"/>
    </row>
    <row r="85" spans="1:11">
      <c r="A85" s="39"/>
      <c r="B85" s="324"/>
      <c r="C85" s="345">
        <v>148</v>
      </c>
      <c r="D85" s="69"/>
      <c r="E85" s="39"/>
      <c r="F85" s="69"/>
      <c r="G85" s="48"/>
      <c r="H85" s="345"/>
      <c r="I85" s="43"/>
      <c r="J85" s="43"/>
      <c r="K85" s="369"/>
    </row>
    <row r="86" spans="1:11">
      <c r="A86" s="39"/>
      <c r="B86" s="3"/>
      <c r="C86" s="108"/>
      <c r="D86" s="69"/>
      <c r="E86" s="39"/>
      <c r="F86" s="69"/>
      <c r="G86" s="48"/>
      <c r="H86" s="345"/>
      <c r="I86" s="43"/>
      <c r="J86" s="43"/>
      <c r="K86" s="369"/>
    </row>
    <row r="87" spans="1:11">
      <c r="A87" s="39"/>
      <c r="B87" s="324"/>
      <c r="C87" s="345"/>
      <c r="D87" s="69"/>
      <c r="E87" s="39"/>
      <c r="F87" s="69"/>
      <c r="G87" s="48"/>
      <c r="H87" s="345"/>
      <c r="I87" s="43"/>
      <c r="J87" s="43"/>
      <c r="K87" s="369"/>
    </row>
    <row r="88" spans="1:11">
      <c r="A88" s="39"/>
      <c r="B88" s="324"/>
      <c r="C88" s="345"/>
      <c r="D88" s="69"/>
      <c r="E88" s="39"/>
      <c r="F88" s="69"/>
      <c r="G88" s="48"/>
      <c r="H88" s="345"/>
      <c r="I88" s="43"/>
      <c r="J88" s="43"/>
      <c r="K88" s="369"/>
    </row>
    <row r="89" spans="1:11">
      <c r="A89" s="39"/>
      <c r="B89" s="399"/>
      <c r="C89" s="250"/>
      <c r="D89" s="69"/>
      <c r="E89" s="58"/>
      <c r="F89" s="69"/>
      <c r="G89" s="48"/>
      <c r="H89" s="345"/>
      <c r="I89" s="43"/>
      <c r="J89" s="43"/>
      <c r="K89" s="369"/>
    </row>
    <row r="90" spans="1:11">
      <c r="A90" s="39"/>
      <c r="B90" s="400"/>
      <c r="C90" s="250"/>
      <c r="D90" s="69"/>
      <c r="E90" s="39"/>
      <c r="F90" s="69"/>
      <c r="G90" s="48"/>
      <c r="H90" s="345"/>
      <c r="I90" s="43"/>
      <c r="J90" s="43"/>
      <c r="K90" s="369"/>
    </row>
    <row r="91" spans="1:11">
      <c r="A91" s="165"/>
      <c r="B91" s="394"/>
      <c r="C91" s="165"/>
      <c r="D91" s="448"/>
      <c r="E91" s="229"/>
      <c r="F91" s="401"/>
      <c r="G91" s="265"/>
      <c r="H91" s="395"/>
      <c r="I91" s="265"/>
      <c r="J91" s="265"/>
      <c r="K91" s="402"/>
    </row>
    <row r="92" spans="1:11">
      <c r="A92" s="165"/>
      <c r="B92" s="403"/>
      <c r="C92" s="404"/>
      <c r="D92" s="448"/>
      <c r="E92" s="229"/>
      <c r="F92" s="401"/>
      <c r="G92" s="265"/>
      <c r="H92" s="395"/>
      <c r="I92" s="265"/>
      <c r="J92" s="52"/>
      <c r="K92" s="402"/>
    </row>
    <row r="93" spans="1:11">
      <c r="A93" s="326"/>
      <c r="B93" s="405"/>
      <c r="C93" s="406"/>
      <c r="D93" s="490"/>
      <c r="E93" s="326"/>
      <c r="F93" s="407"/>
      <c r="G93" s="408"/>
      <c r="H93" s="409"/>
      <c r="I93" s="381"/>
      <c r="J93" s="410"/>
      <c r="K93" s="411"/>
    </row>
    <row r="94" spans="1:11">
      <c r="A94" s="51"/>
      <c r="B94" s="412"/>
      <c r="C94" s="370"/>
      <c r="D94" s="117"/>
      <c r="E94" s="413"/>
      <c r="F94" s="414"/>
      <c r="G94" s="415"/>
      <c r="H94" s="90"/>
      <c r="I94" s="415"/>
      <c r="J94" s="415"/>
      <c r="K94" s="217"/>
    </row>
    <row r="95" spans="1:11">
      <c r="A95" s="95"/>
      <c r="B95" s="111"/>
      <c r="C95" s="95"/>
      <c r="D95" s="417"/>
      <c r="E95" s="416"/>
      <c r="F95" s="417"/>
      <c r="G95" s="286"/>
      <c r="H95" s="84"/>
      <c r="I95" s="286"/>
      <c r="J95" s="286"/>
      <c r="K95" s="418"/>
    </row>
    <row r="96" spans="1:11">
      <c r="A96" s="41"/>
      <c r="B96" s="100"/>
      <c r="C96" s="39" t="s">
        <v>19</v>
      </c>
      <c r="D96" s="491"/>
      <c r="E96" s="255"/>
      <c r="F96" s="353"/>
      <c r="G96" s="61"/>
      <c r="H96" s="64"/>
      <c r="I96" s="61"/>
      <c r="J96" s="61"/>
      <c r="K96" s="419"/>
    </row>
    <row r="97" spans="1:11">
      <c r="A97" s="41"/>
      <c r="B97" s="100"/>
      <c r="C97" s="39" t="s">
        <v>19</v>
      </c>
      <c r="D97" s="491"/>
      <c r="E97" s="255"/>
      <c r="F97" s="145"/>
      <c r="G97" s="48"/>
      <c r="H97" s="44"/>
      <c r="I97" s="48"/>
      <c r="J97" s="48"/>
      <c r="K97" s="419"/>
    </row>
    <row r="98" spans="1:11">
      <c r="A98" s="41"/>
      <c r="B98" s="100"/>
      <c r="C98" s="39" t="s">
        <v>19</v>
      </c>
      <c r="D98" s="491"/>
      <c r="E98" s="255"/>
      <c r="F98" s="145"/>
      <c r="G98" s="48"/>
      <c r="H98" s="44"/>
      <c r="I98" s="48"/>
      <c r="J98" s="48"/>
      <c r="K98" s="419"/>
    </row>
    <row r="99" spans="1:11">
      <c r="A99" s="41"/>
      <c r="B99" s="100"/>
      <c r="C99" s="39" t="s">
        <v>19</v>
      </c>
      <c r="D99" s="491"/>
      <c r="E99" s="255"/>
      <c r="F99" s="145"/>
      <c r="G99" s="48"/>
      <c r="H99" s="44"/>
      <c r="I99" s="48"/>
      <c r="J99" s="48"/>
      <c r="K99" s="419"/>
    </row>
    <row r="100" spans="1:11">
      <c r="A100" s="41"/>
      <c r="B100" s="100"/>
      <c r="C100" s="39" t="s">
        <v>19</v>
      </c>
      <c r="D100" s="491"/>
      <c r="E100" s="255"/>
      <c r="F100" s="145"/>
      <c r="G100" s="48"/>
      <c r="H100" s="44"/>
      <c r="I100" s="48"/>
      <c r="J100" s="48"/>
      <c r="K100" s="419"/>
    </row>
    <row r="101" spans="1:11">
      <c r="A101" s="41"/>
      <c r="B101" s="100"/>
      <c r="C101" s="39" t="s">
        <v>19</v>
      </c>
      <c r="D101" s="491"/>
      <c r="E101" s="255"/>
      <c r="F101" s="145"/>
      <c r="G101" s="48"/>
      <c r="H101" s="44"/>
      <c r="I101" s="48"/>
      <c r="J101" s="48"/>
      <c r="K101" s="419"/>
    </row>
    <row r="102" spans="1:11">
      <c r="A102" s="41"/>
      <c r="B102" s="100"/>
      <c r="C102" s="105" t="s">
        <v>32</v>
      </c>
      <c r="D102" s="491"/>
      <c r="E102" s="255"/>
      <c r="F102" s="145"/>
      <c r="G102" s="48"/>
      <c r="H102" s="44"/>
      <c r="I102" s="48"/>
      <c r="J102" s="48"/>
      <c r="K102" s="419"/>
    </row>
    <row r="103" spans="1:11">
      <c r="A103" s="39"/>
      <c r="B103" s="100"/>
      <c r="C103" s="105" t="s">
        <v>32</v>
      </c>
      <c r="D103" s="491"/>
      <c r="E103" s="255"/>
      <c r="F103" s="145"/>
      <c r="G103" s="48"/>
      <c r="H103" s="44"/>
      <c r="I103" s="48"/>
      <c r="J103" s="48"/>
      <c r="K103" s="419"/>
    </row>
    <row r="104" spans="1:11">
      <c r="A104" s="39"/>
      <c r="B104" s="100"/>
      <c r="C104" s="39"/>
      <c r="D104" s="353"/>
      <c r="E104" s="106"/>
      <c r="F104" s="353"/>
      <c r="G104" s="101"/>
      <c r="H104" s="64"/>
      <c r="I104" s="101"/>
      <c r="J104" s="101"/>
      <c r="K104" s="419"/>
    </row>
    <row r="105" spans="1:11">
      <c r="A105" s="39"/>
      <c r="B105" s="100"/>
      <c r="C105" s="39" t="s">
        <v>19</v>
      </c>
      <c r="D105" s="353"/>
      <c r="E105" s="255"/>
      <c r="F105" s="145"/>
      <c r="G105" s="48"/>
      <c r="H105" s="44"/>
      <c r="I105" s="48"/>
      <c r="J105" s="48"/>
      <c r="K105" s="419"/>
    </row>
    <row r="106" spans="1:11">
      <c r="A106" s="39"/>
      <c r="B106" s="100"/>
      <c r="C106" s="39" t="s">
        <v>19</v>
      </c>
      <c r="D106" s="353"/>
      <c r="E106" s="255"/>
      <c r="F106" s="145"/>
      <c r="G106" s="48"/>
      <c r="H106" s="44"/>
      <c r="I106" s="48"/>
      <c r="J106" s="48"/>
      <c r="K106" s="419"/>
    </row>
    <row r="107" spans="1:11">
      <c r="A107" s="39"/>
      <c r="B107" s="100"/>
      <c r="C107" s="39" t="s">
        <v>19</v>
      </c>
      <c r="D107" s="353"/>
      <c r="E107" s="255"/>
      <c r="F107" s="145"/>
      <c r="G107" s="48"/>
      <c r="H107" s="44"/>
      <c r="I107" s="48"/>
      <c r="J107" s="48"/>
      <c r="K107" s="419"/>
    </row>
    <row r="108" spans="1:11">
      <c r="A108" s="41"/>
      <c r="B108" s="100"/>
      <c r="C108" s="39" t="s">
        <v>19</v>
      </c>
      <c r="D108" s="491"/>
      <c r="E108" s="255"/>
      <c r="F108" s="145"/>
      <c r="G108" s="48"/>
      <c r="H108" s="44"/>
      <c r="I108" s="48"/>
      <c r="J108" s="48"/>
      <c r="K108" s="419"/>
    </row>
    <row r="109" spans="1:11">
      <c r="A109" s="41"/>
      <c r="B109" s="100"/>
      <c r="C109" s="39" t="s">
        <v>19</v>
      </c>
      <c r="D109" s="353"/>
      <c r="E109" s="255"/>
      <c r="F109" s="145"/>
      <c r="G109" s="48"/>
      <c r="H109" s="44"/>
      <c r="I109" s="48"/>
      <c r="J109" s="48"/>
      <c r="K109" s="419"/>
    </row>
    <row r="110" spans="1:11">
      <c r="A110" s="41"/>
      <c r="B110" s="100"/>
      <c r="C110" s="39" t="s">
        <v>19</v>
      </c>
      <c r="D110" s="353"/>
      <c r="E110" s="255"/>
      <c r="F110" s="145"/>
      <c r="G110" s="48"/>
      <c r="H110" s="44"/>
      <c r="I110" s="48"/>
      <c r="J110" s="48"/>
      <c r="K110" s="419"/>
    </row>
    <row r="111" spans="1:11">
      <c r="A111" s="41"/>
      <c r="B111" s="100"/>
      <c r="C111" s="39" t="s">
        <v>19</v>
      </c>
      <c r="D111" s="491"/>
      <c r="E111" s="255"/>
      <c r="F111" s="145"/>
      <c r="G111" s="48"/>
      <c r="H111" s="44"/>
      <c r="I111" s="48"/>
      <c r="J111" s="48"/>
      <c r="K111" s="419"/>
    </row>
    <row r="112" spans="1:11">
      <c r="A112" s="41"/>
      <c r="B112" s="100"/>
      <c r="C112" s="39" t="s">
        <v>19</v>
      </c>
      <c r="D112" s="491"/>
      <c r="E112" s="255"/>
      <c r="F112" s="145"/>
      <c r="G112" s="48"/>
      <c r="H112" s="44"/>
      <c r="I112" s="48"/>
      <c r="J112" s="48"/>
      <c r="K112" s="419"/>
    </row>
    <row r="113" spans="1:11">
      <c r="A113" s="41"/>
      <c r="B113" s="100"/>
      <c r="C113" s="39" t="s">
        <v>19</v>
      </c>
      <c r="D113" s="491"/>
      <c r="E113" s="255"/>
      <c r="F113" s="145"/>
      <c r="G113" s="48"/>
      <c r="H113" s="44"/>
      <c r="I113" s="48"/>
      <c r="J113" s="48"/>
      <c r="K113" s="419"/>
    </row>
    <row r="114" spans="1:11">
      <c r="A114" s="41"/>
      <c r="B114" s="100"/>
      <c r="C114" s="105" t="s">
        <v>32</v>
      </c>
      <c r="D114" s="353"/>
      <c r="E114" s="255"/>
      <c r="F114" s="145"/>
      <c r="G114" s="48"/>
      <c r="H114" s="44"/>
      <c r="I114" s="48"/>
      <c r="J114" s="48"/>
      <c r="K114" s="419"/>
    </row>
    <row r="115" spans="1:11">
      <c r="A115" s="39"/>
      <c r="B115" s="100"/>
      <c r="C115" s="105" t="s">
        <v>32</v>
      </c>
      <c r="D115" s="353"/>
      <c r="E115" s="255"/>
      <c r="F115" s="145"/>
      <c r="G115" s="48"/>
      <c r="H115" s="44"/>
      <c r="I115" s="48"/>
      <c r="J115" s="48"/>
      <c r="K115" s="419"/>
    </row>
    <row r="116" spans="1:11">
      <c r="A116" s="39"/>
      <c r="B116" s="100"/>
      <c r="C116" s="39"/>
      <c r="D116" s="353"/>
      <c r="E116" s="102"/>
      <c r="F116" s="76"/>
      <c r="G116" s="260"/>
      <c r="H116" s="420"/>
      <c r="I116" s="260"/>
      <c r="J116" s="260"/>
      <c r="K116" s="419"/>
    </row>
    <row r="117" spans="1:11">
      <c r="A117" s="39"/>
      <c r="B117" s="100"/>
      <c r="C117" s="105" t="s">
        <v>17</v>
      </c>
      <c r="D117" s="353"/>
      <c r="E117" s="106"/>
      <c r="F117" s="145"/>
      <c r="G117" s="48"/>
      <c r="H117" s="44"/>
      <c r="I117" s="48"/>
      <c r="J117" s="48"/>
      <c r="K117" s="419"/>
    </row>
    <row r="118" spans="1:11">
      <c r="A118" s="39"/>
      <c r="B118" s="100"/>
      <c r="C118" s="105" t="s">
        <v>17</v>
      </c>
      <c r="D118" s="491"/>
      <c r="E118" s="106"/>
      <c r="F118" s="145"/>
      <c r="G118" s="48"/>
      <c r="H118" s="44"/>
      <c r="I118" s="48"/>
      <c r="J118" s="48"/>
      <c r="K118" s="419"/>
    </row>
    <row r="119" spans="1:11">
      <c r="A119" s="39"/>
      <c r="B119" s="100"/>
      <c r="C119" s="105" t="s">
        <v>17</v>
      </c>
      <c r="D119" s="353"/>
      <c r="E119" s="106"/>
      <c r="F119" s="145"/>
      <c r="G119" s="48"/>
      <c r="H119" s="44"/>
      <c r="I119" s="48"/>
      <c r="J119" s="48"/>
      <c r="K119" s="419"/>
    </row>
    <row r="120" spans="1:11">
      <c r="A120" s="39"/>
      <c r="B120" s="100"/>
      <c r="C120" s="105" t="s">
        <v>17</v>
      </c>
      <c r="D120" s="491"/>
      <c r="E120" s="106"/>
      <c r="F120" s="145"/>
      <c r="G120" s="48"/>
      <c r="H120" s="44"/>
      <c r="I120" s="48"/>
      <c r="J120" s="48"/>
      <c r="K120" s="419"/>
    </row>
    <row r="121" spans="1:11">
      <c r="A121" s="39"/>
      <c r="B121" s="100"/>
      <c r="C121" s="105" t="s">
        <v>17</v>
      </c>
      <c r="D121" s="353"/>
      <c r="E121" s="106"/>
      <c r="F121" s="145"/>
      <c r="G121" s="48"/>
      <c r="H121" s="44"/>
      <c r="I121" s="48"/>
      <c r="J121" s="48"/>
      <c r="K121" s="419"/>
    </row>
    <row r="122" spans="1:11">
      <c r="A122" s="39"/>
      <c r="B122" s="100"/>
      <c r="C122" s="105" t="s">
        <v>17</v>
      </c>
      <c r="D122" s="353"/>
      <c r="E122" s="106"/>
      <c r="F122" s="145"/>
      <c r="G122" s="48"/>
      <c r="H122" s="44"/>
      <c r="I122" s="48"/>
      <c r="J122" s="48"/>
      <c r="K122" s="419"/>
    </row>
    <row r="123" spans="1:11">
      <c r="A123" s="39"/>
      <c r="B123" s="100"/>
      <c r="C123" s="105" t="s">
        <v>17</v>
      </c>
      <c r="D123" s="491"/>
      <c r="E123" s="106"/>
      <c r="F123" s="145"/>
      <c r="G123" s="48"/>
      <c r="H123" s="44"/>
      <c r="I123" s="48"/>
      <c r="J123" s="48"/>
      <c r="K123" s="419"/>
    </row>
    <row r="124" spans="1:11">
      <c r="A124" s="41"/>
      <c r="B124" s="100"/>
      <c r="C124" s="105" t="s">
        <v>17</v>
      </c>
      <c r="D124" s="491"/>
      <c r="E124" s="106"/>
      <c r="F124" s="145"/>
      <c r="G124" s="48"/>
      <c r="H124" s="44"/>
      <c r="I124" s="48"/>
      <c r="J124" s="48"/>
      <c r="K124" s="419"/>
    </row>
    <row r="125" spans="1:11">
      <c r="A125" s="41"/>
      <c r="B125" s="100"/>
      <c r="C125" s="421" t="s">
        <v>17</v>
      </c>
      <c r="D125" s="353"/>
      <c r="E125" s="422"/>
      <c r="F125" s="145"/>
      <c r="G125" s="48"/>
      <c r="H125" s="44"/>
      <c r="I125" s="48"/>
      <c r="J125" s="48"/>
      <c r="K125" s="419"/>
    </row>
    <row r="126" spans="1:11">
      <c r="A126" s="39"/>
      <c r="B126" s="100"/>
      <c r="C126" s="39"/>
      <c r="D126" s="353"/>
      <c r="E126" s="102"/>
      <c r="F126" s="76"/>
      <c r="G126" s="260"/>
      <c r="H126" s="420"/>
      <c r="I126" s="260"/>
      <c r="J126" s="260"/>
      <c r="K126" s="419"/>
    </row>
    <row r="127" spans="1:11">
      <c r="A127" s="39"/>
      <c r="B127" s="100"/>
      <c r="C127" s="421" t="s">
        <v>17</v>
      </c>
      <c r="D127" s="353"/>
      <c r="E127" s="423"/>
      <c r="F127" s="353"/>
      <c r="G127" s="61"/>
      <c r="H127" s="64"/>
      <c r="I127" s="61"/>
      <c r="J127" s="61"/>
      <c r="K127" s="334"/>
    </row>
    <row r="128" spans="1:11">
      <c r="A128" s="39"/>
      <c r="B128" s="100"/>
      <c r="C128" s="421" t="s">
        <v>17</v>
      </c>
      <c r="D128" s="353"/>
      <c r="E128" s="423"/>
      <c r="F128" s="353"/>
      <c r="G128" s="61"/>
      <c r="H128" s="64"/>
      <c r="I128" s="61"/>
      <c r="J128" s="61"/>
      <c r="K128" s="334"/>
    </row>
    <row r="129" spans="1:11">
      <c r="A129" s="39"/>
      <c r="B129" s="100"/>
      <c r="C129" s="421" t="s">
        <v>17</v>
      </c>
      <c r="D129" s="353"/>
      <c r="E129" s="423"/>
      <c r="F129" s="353"/>
      <c r="G129" s="61"/>
      <c r="H129" s="64"/>
      <c r="I129" s="61"/>
      <c r="J129" s="61"/>
      <c r="K129" s="334"/>
    </row>
    <row r="130" spans="1:11">
      <c r="A130" s="39"/>
      <c r="B130" s="100"/>
      <c r="C130" s="39"/>
      <c r="D130" s="353"/>
      <c r="E130" s="102"/>
      <c r="F130" s="76"/>
      <c r="G130" s="101"/>
      <c r="H130" s="64"/>
      <c r="I130" s="101"/>
      <c r="J130" s="101"/>
      <c r="K130" s="419"/>
    </row>
    <row r="131" spans="1:11">
      <c r="A131" s="39"/>
      <c r="B131" s="100"/>
      <c r="C131" s="105" t="s">
        <v>17</v>
      </c>
      <c r="D131" s="353"/>
      <c r="E131" s="423"/>
      <c r="F131" s="353"/>
      <c r="G131" s="61"/>
      <c r="H131" s="64"/>
      <c r="I131" s="61"/>
      <c r="J131" s="61"/>
      <c r="K131" s="419"/>
    </row>
    <row r="132" spans="1:11">
      <c r="A132" s="39"/>
      <c r="B132" s="100"/>
      <c r="C132" s="105" t="s">
        <v>17</v>
      </c>
      <c r="D132" s="353"/>
      <c r="E132" s="423"/>
      <c r="F132" s="353"/>
      <c r="G132" s="61"/>
      <c r="H132" s="64"/>
      <c r="I132" s="61"/>
      <c r="J132" s="61"/>
      <c r="K132" s="419"/>
    </row>
    <row r="133" spans="1:11">
      <c r="A133" s="39"/>
      <c r="B133" s="100"/>
      <c r="C133" s="105" t="s">
        <v>17</v>
      </c>
      <c r="D133" s="353"/>
      <c r="E133" s="423"/>
      <c r="F133" s="353"/>
      <c r="G133" s="61"/>
      <c r="H133" s="64"/>
      <c r="I133" s="61"/>
      <c r="J133" s="61"/>
      <c r="K133" s="419"/>
    </row>
    <row r="134" spans="1:11">
      <c r="A134" s="39"/>
      <c r="B134" s="100"/>
      <c r="C134" s="105" t="s">
        <v>17</v>
      </c>
      <c r="D134" s="353"/>
      <c r="E134" s="423"/>
      <c r="F134" s="353"/>
      <c r="G134" s="63"/>
      <c r="H134" s="64"/>
      <c r="I134" s="61"/>
      <c r="J134" s="61"/>
      <c r="K134" s="419"/>
    </row>
    <row r="135" spans="1:11">
      <c r="A135" s="39"/>
      <c r="B135" s="424"/>
      <c r="C135" s="39"/>
      <c r="D135" s="353"/>
      <c r="E135" s="102"/>
      <c r="F135" s="76"/>
      <c r="G135" s="63"/>
      <c r="H135" s="64"/>
      <c r="I135" s="101"/>
      <c r="J135" s="101"/>
      <c r="K135" s="419"/>
    </row>
    <row r="136" spans="1:11">
      <c r="A136" s="39"/>
      <c r="B136" s="100"/>
      <c r="C136" s="425" t="s">
        <v>17</v>
      </c>
      <c r="D136" s="353"/>
      <c r="E136" s="423"/>
      <c r="F136" s="76"/>
      <c r="G136" s="48"/>
      <c r="H136" s="44"/>
      <c r="I136" s="48"/>
      <c r="J136" s="48"/>
      <c r="K136" s="419"/>
    </row>
    <row r="137" spans="1:11">
      <c r="A137" s="39"/>
      <c r="B137" s="100"/>
      <c r="C137" s="39"/>
      <c r="D137" s="353"/>
      <c r="E137" s="102"/>
      <c r="F137" s="76"/>
      <c r="G137" s="101"/>
      <c r="H137" s="64"/>
      <c r="I137" s="101"/>
      <c r="J137" s="101"/>
      <c r="K137" s="419"/>
    </row>
    <row r="138" spans="1:11">
      <c r="A138" s="39"/>
      <c r="B138" s="100"/>
      <c r="C138" s="425" t="s">
        <v>17</v>
      </c>
      <c r="D138" s="353"/>
      <c r="E138" s="423"/>
      <c r="F138" s="76"/>
      <c r="G138" s="48"/>
      <c r="H138" s="44"/>
      <c r="I138" s="48"/>
      <c r="J138" s="48"/>
      <c r="K138" s="419"/>
    </row>
    <row r="139" spans="1:11">
      <c r="A139" s="39"/>
      <c r="B139" s="100"/>
      <c r="C139" s="425" t="s">
        <v>17</v>
      </c>
      <c r="D139" s="353"/>
      <c r="E139" s="423"/>
      <c r="F139" s="76"/>
      <c r="G139" s="48"/>
      <c r="H139" s="44"/>
      <c r="I139" s="48"/>
      <c r="J139" s="48"/>
      <c r="K139" s="419"/>
    </row>
    <row r="140" spans="1:11">
      <c r="A140" s="39"/>
      <c r="B140" s="100"/>
      <c r="C140" s="425"/>
      <c r="D140" s="76"/>
      <c r="E140" s="102"/>
      <c r="F140" s="76"/>
      <c r="G140" s="101"/>
      <c r="H140" s="64"/>
      <c r="I140" s="101"/>
      <c r="J140" s="101"/>
      <c r="K140" s="419"/>
    </row>
    <row r="141" spans="1:11">
      <c r="A141" s="39"/>
      <c r="B141" s="426"/>
      <c r="C141" s="425" t="s">
        <v>17</v>
      </c>
      <c r="D141" s="76"/>
      <c r="E141" s="423"/>
      <c r="F141" s="76"/>
      <c r="G141" s="48"/>
      <c r="H141" s="64"/>
      <c r="I141" s="48"/>
      <c r="J141" s="48"/>
      <c r="K141" s="419"/>
    </row>
    <row r="142" spans="1:11">
      <c r="A142" s="39"/>
      <c r="B142" s="426"/>
      <c r="C142" s="425" t="s">
        <v>17</v>
      </c>
      <c r="D142" s="353"/>
      <c r="E142" s="423"/>
      <c r="F142" s="76"/>
      <c r="G142" s="48"/>
      <c r="H142" s="72"/>
      <c r="I142" s="48"/>
      <c r="J142" s="48"/>
      <c r="K142" s="419"/>
    </row>
    <row r="143" spans="1:11">
      <c r="A143" s="39"/>
      <c r="B143" s="100"/>
      <c r="C143" s="425"/>
      <c r="D143" s="76"/>
      <c r="E143" s="102"/>
      <c r="F143" s="76"/>
      <c r="G143" s="101"/>
      <c r="H143" s="64"/>
      <c r="I143" s="101"/>
      <c r="J143" s="101"/>
      <c r="K143" s="419"/>
    </row>
    <row r="144" spans="1:11">
      <c r="A144" s="39"/>
      <c r="B144" s="100"/>
      <c r="C144" s="425" t="s">
        <v>17</v>
      </c>
      <c r="D144" s="353"/>
      <c r="E144" s="423"/>
      <c r="F144" s="76"/>
      <c r="G144" s="48"/>
      <c r="H144" s="72"/>
      <c r="I144" s="48"/>
      <c r="J144" s="48"/>
      <c r="K144" s="419"/>
    </row>
    <row r="145" spans="1:11">
      <c r="A145" s="39"/>
      <c r="B145" s="100"/>
      <c r="C145" s="39"/>
      <c r="D145" s="353"/>
      <c r="E145" s="106"/>
      <c r="F145" s="353"/>
      <c r="G145" s="101"/>
      <c r="H145" s="64"/>
      <c r="I145" s="101"/>
      <c r="J145" s="101"/>
      <c r="K145" s="419"/>
    </row>
    <row r="146" spans="1:11">
      <c r="A146" s="39"/>
      <c r="B146" s="100"/>
      <c r="C146" s="39"/>
      <c r="D146" s="353"/>
      <c r="E146" s="106"/>
      <c r="F146" s="353"/>
      <c r="G146" s="101"/>
      <c r="H146" s="64"/>
      <c r="I146" s="101"/>
      <c r="J146" s="101"/>
      <c r="K146" s="419"/>
    </row>
    <row r="147" spans="1:11">
      <c r="A147" s="39"/>
      <c r="B147" s="100"/>
      <c r="C147" s="427"/>
      <c r="D147" s="76"/>
      <c r="E147" s="102"/>
      <c r="F147" s="76"/>
      <c r="G147" s="101"/>
      <c r="H147" s="64"/>
      <c r="I147" s="101"/>
      <c r="J147" s="101"/>
      <c r="K147" s="419"/>
    </row>
    <row r="148" spans="1:11">
      <c r="A148" s="39"/>
      <c r="B148" s="100"/>
      <c r="C148" s="108" t="s">
        <v>17</v>
      </c>
      <c r="D148" s="353"/>
      <c r="E148" s="423"/>
      <c r="F148" s="76"/>
      <c r="G148" s="48"/>
      <c r="H148" s="72"/>
      <c r="I148" s="48"/>
      <c r="J148" s="48"/>
      <c r="K148" s="419"/>
    </row>
    <row r="149" spans="1:11">
      <c r="A149" s="39"/>
      <c r="B149" s="100"/>
      <c r="C149" s="108" t="s">
        <v>17</v>
      </c>
      <c r="D149" s="353"/>
      <c r="E149" s="423"/>
      <c r="F149" s="76"/>
      <c r="G149" s="48"/>
      <c r="H149" s="72"/>
      <c r="I149" s="48"/>
      <c r="J149" s="48"/>
      <c r="K149" s="419"/>
    </row>
    <row r="150" spans="1:11">
      <c r="A150" s="39"/>
      <c r="B150" s="100"/>
      <c r="C150" s="108" t="s">
        <v>17</v>
      </c>
      <c r="D150" s="353"/>
      <c r="E150" s="423"/>
      <c r="F150" s="76"/>
      <c r="G150" s="48"/>
      <c r="H150" s="72"/>
      <c r="I150" s="48"/>
      <c r="J150" s="48"/>
      <c r="K150" s="419"/>
    </row>
    <row r="151" spans="1:11">
      <c r="A151" s="39"/>
      <c r="B151" s="100"/>
      <c r="C151" s="108" t="s">
        <v>17</v>
      </c>
      <c r="D151" s="353"/>
      <c r="E151" s="423"/>
      <c r="F151" s="76"/>
      <c r="G151" s="48"/>
      <c r="H151" s="72"/>
      <c r="I151" s="48"/>
      <c r="J151" s="48"/>
      <c r="K151" s="419"/>
    </row>
    <row r="152" spans="1:11" s="65" customFormat="1">
      <c r="A152" s="58"/>
      <c r="B152" s="59"/>
      <c r="C152" s="60" t="s">
        <v>17</v>
      </c>
      <c r="D152" s="353"/>
      <c r="E152" s="62"/>
      <c r="F152" s="353"/>
      <c r="G152" s="63"/>
      <c r="H152" s="64"/>
      <c r="I152" s="63"/>
      <c r="J152" s="63"/>
      <c r="K152" s="419"/>
    </row>
    <row r="153" spans="1:11" s="65" customFormat="1">
      <c r="A153" s="58"/>
      <c r="B153" s="59"/>
      <c r="C153" s="58" t="s">
        <v>32</v>
      </c>
      <c r="D153" s="353"/>
      <c r="E153" s="58"/>
      <c r="F153" s="353"/>
      <c r="G153" s="48"/>
      <c r="H153" s="64"/>
      <c r="I153" s="48"/>
      <c r="J153" s="48"/>
      <c r="K153" s="419"/>
    </row>
    <row r="154" spans="1:11" s="65" customFormat="1">
      <c r="A154" s="58"/>
      <c r="B154" s="67"/>
      <c r="C154" s="68"/>
      <c r="D154" s="69"/>
      <c r="E154" s="70"/>
      <c r="F154" s="145"/>
      <c r="G154" s="71"/>
      <c r="H154" s="72"/>
      <c r="I154" s="73"/>
      <c r="J154" s="66"/>
      <c r="K154" s="3"/>
    </row>
    <row r="155" spans="1:11" s="65" customFormat="1">
      <c r="A155" s="58"/>
      <c r="B155" s="75"/>
      <c r="C155" s="70"/>
      <c r="D155" s="353"/>
      <c r="E155" s="58"/>
      <c r="F155" s="353"/>
      <c r="G155" s="63"/>
      <c r="H155" s="64"/>
      <c r="I155" s="63"/>
      <c r="J155" s="63"/>
      <c r="K155" s="419"/>
    </row>
    <row r="156" spans="1:11" s="65" customFormat="1">
      <c r="A156" s="58"/>
      <c r="B156" s="59"/>
      <c r="C156" s="60" t="s">
        <v>17</v>
      </c>
      <c r="D156" s="353"/>
      <c r="E156" s="62"/>
      <c r="F156" s="76"/>
      <c r="G156" s="48"/>
      <c r="H156" s="64"/>
      <c r="I156" s="48"/>
      <c r="J156" s="48"/>
      <c r="K156" s="419"/>
    </row>
    <row r="157" spans="1:11" s="65" customFormat="1">
      <c r="A157" s="58"/>
      <c r="B157" s="59"/>
      <c r="C157" s="60" t="s">
        <v>17</v>
      </c>
      <c r="D157" s="76"/>
      <c r="E157" s="62"/>
      <c r="F157" s="76"/>
      <c r="G157" s="48"/>
      <c r="H157" s="64"/>
      <c r="I157" s="48"/>
      <c r="J157" s="48"/>
      <c r="K157" s="419"/>
    </row>
    <row r="158" spans="1:11" s="65" customFormat="1">
      <c r="A158" s="58"/>
      <c r="B158" s="59"/>
      <c r="C158" s="60" t="s">
        <v>17</v>
      </c>
      <c r="D158" s="353"/>
      <c r="E158" s="62"/>
      <c r="F158" s="76"/>
      <c r="G158" s="48"/>
      <c r="H158" s="64"/>
      <c r="I158" s="48"/>
      <c r="J158" s="48"/>
      <c r="K158" s="419"/>
    </row>
    <row r="159" spans="1:11" s="65" customFormat="1">
      <c r="A159" s="58"/>
      <c r="B159" s="75"/>
      <c r="C159" s="60" t="s">
        <v>17</v>
      </c>
      <c r="D159" s="353"/>
      <c r="E159" s="62"/>
      <c r="F159" s="76"/>
      <c r="G159" s="48"/>
      <c r="H159" s="64"/>
      <c r="I159" s="48"/>
      <c r="J159" s="48"/>
      <c r="K159" s="419"/>
    </row>
    <row r="160" spans="1:11" s="65" customFormat="1">
      <c r="A160" s="58"/>
      <c r="B160" s="75"/>
      <c r="C160" s="70"/>
      <c r="D160" s="353"/>
      <c r="E160" s="58"/>
      <c r="F160" s="353"/>
      <c r="G160" s="63"/>
      <c r="H160" s="64"/>
      <c r="I160" s="63"/>
      <c r="J160" s="63"/>
      <c r="K160" s="419"/>
    </row>
    <row r="161" spans="1:11" s="65" customFormat="1">
      <c r="A161" s="58"/>
      <c r="B161" s="59"/>
      <c r="C161" s="60" t="s">
        <v>17</v>
      </c>
      <c r="D161" s="353"/>
      <c r="E161" s="62"/>
      <c r="F161" s="76"/>
      <c r="G161" s="48"/>
      <c r="H161" s="64"/>
      <c r="I161" s="48"/>
      <c r="J161" s="48"/>
      <c r="K161" s="419"/>
    </row>
    <row r="162" spans="1:11" s="65" customFormat="1">
      <c r="A162" s="58"/>
      <c r="B162" s="75"/>
      <c r="C162" s="70"/>
      <c r="D162" s="353"/>
      <c r="E162" s="58"/>
      <c r="F162" s="353"/>
      <c r="G162" s="63"/>
      <c r="H162" s="64"/>
      <c r="I162" s="63"/>
      <c r="J162" s="63"/>
      <c r="K162" s="419"/>
    </row>
    <row r="163" spans="1:11" s="65" customFormat="1">
      <c r="A163" s="58"/>
      <c r="B163" s="59"/>
      <c r="C163" s="60" t="s">
        <v>17</v>
      </c>
      <c r="D163" s="353"/>
      <c r="E163" s="62"/>
      <c r="F163" s="76"/>
      <c r="G163" s="48"/>
      <c r="H163" s="64"/>
      <c r="I163" s="48"/>
      <c r="J163" s="48"/>
      <c r="K163" s="419"/>
    </row>
    <row r="164" spans="1:11" s="65" customFormat="1">
      <c r="A164" s="58"/>
      <c r="B164" s="59"/>
      <c r="C164" s="60" t="s">
        <v>17</v>
      </c>
      <c r="D164" s="76"/>
      <c r="E164" s="62"/>
      <c r="F164" s="76"/>
      <c r="G164" s="48"/>
      <c r="H164" s="64"/>
      <c r="I164" s="48"/>
      <c r="J164" s="48"/>
      <c r="K164" s="419"/>
    </row>
    <row r="165" spans="1:11" s="65" customFormat="1">
      <c r="A165" s="58"/>
      <c r="B165" s="59"/>
      <c r="C165" s="60" t="s">
        <v>17</v>
      </c>
      <c r="D165" s="353"/>
      <c r="E165" s="62"/>
      <c r="F165" s="76"/>
      <c r="G165" s="48"/>
      <c r="H165" s="64"/>
      <c r="I165" s="48"/>
      <c r="J165" s="48"/>
      <c r="K165" s="419"/>
    </row>
    <row r="166" spans="1:11" s="65" customFormat="1">
      <c r="A166" s="58"/>
      <c r="B166" s="59"/>
      <c r="C166" s="60"/>
      <c r="D166" s="353"/>
      <c r="E166" s="62"/>
      <c r="F166" s="76"/>
      <c r="G166" s="48"/>
      <c r="H166" s="64"/>
      <c r="I166" s="48"/>
      <c r="J166" s="48"/>
      <c r="K166" s="419"/>
    </row>
    <row r="167" spans="1:11" s="65" customFormat="1">
      <c r="A167" s="78"/>
      <c r="B167" s="79"/>
      <c r="C167" s="80"/>
      <c r="D167" s="82"/>
      <c r="E167" s="80"/>
      <c r="F167" s="82"/>
      <c r="G167" s="83"/>
      <c r="H167" s="84"/>
      <c r="I167" s="83"/>
      <c r="J167" s="85"/>
      <c r="K167" s="418"/>
    </row>
    <row r="168" spans="1:11" s="65" customFormat="1">
      <c r="A168" s="86"/>
      <c r="B168" s="87"/>
      <c r="C168" s="88"/>
      <c r="D168" s="117"/>
      <c r="E168" s="86"/>
      <c r="F168" s="414"/>
      <c r="G168" s="89"/>
      <c r="H168" s="90"/>
      <c r="I168" s="89"/>
      <c r="J168" s="88"/>
      <c r="K168" s="217"/>
    </row>
    <row r="169" spans="1:11">
      <c r="A169" s="51"/>
      <c r="B169" s="91"/>
      <c r="C169" s="92"/>
      <c r="D169" s="414"/>
      <c r="E169" s="428"/>
      <c r="F169" s="414"/>
      <c r="G169" s="93"/>
      <c r="H169" s="90"/>
      <c r="I169" s="93"/>
      <c r="J169" s="93"/>
      <c r="K169" s="217"/>
    </row>
    <row r="170" spans="1:11">
      <c r="A170" s="95"/>
      <c r="B170" s="96"/>
      <c r="C170" s="97"/>
      <c r="D170" s="417"/>
      <c r="E170" s="113"/>
      <c r="F170" s="417"/>
      <c r="G170" s="98"/>
      <c r="H170" s="84"/>
      <c r="I170" s="98"/>
      <c r="J170" s="98"/>
      <c r="K170" s="418"/>
    </row>
    <row r="171" spans="1:11">
      <c r="A171" s="39"/>
      <c r="B171" s="100"/>
      <c r="C171" s="39" t="s">
        <v>19</v>
      </c>
      <c r="D171" s="353"/>
      <c r="E171" s="102"/>
      <c r="F171" s="76"/>
      <c r="G171" s="48"/>
      <c r="H171" s="64"/>
      <c r="I171" s="48"/>
      <c r="J171" s="48"/>
      <c r="K171" s="419"/>
    </row>
    <row r="172" spans="1:11">
      <c r="A172" s="39"/>
      <c r="B172" s="100"/>
      <c r="C172" s="39" t="s">
        <v>19</v>
      </c>
      <c r="D172" s="353"/>
      <c r="E172" s="102"/>
      <c r="F172" s="76"/>
      <c r="G172" s="48"/>
      <c r="H172" s="64"/>
      <c r="I172" s="48"/>
      <c r="J172" s="48"/>
      <c r="K172" s="419"/>
    </row>
    <row r="173" spans="1:11">
      <c r="A173" s="39"/>
      <c r="B173" s="100"/>
      <c r="C173" s="39" t="s">
        <v>19</v>
      </c>
      <c r="D173" s="353"/>
      <c r="E173" s="102"/>
      <c r="F173" s="76"/>
      <c r="G173" s="48"/>
      <c r="H173" s="64"/>
      <c r="I173" s="48"/>
      <c r="J173" s="48"/>
      <c r="K173" s="419"/>
    </row>
    <row r="174" spans="1:11">
      <c r="A174" s="39"/>
      <c r="B174" s="100"/>
      <c r="C174" s="39" t="s">
        <v>19</v>
      </c>
      <c r="D174" s="353"/>
      <c r="E174" s="102"/>
      <c r="F174" s="76"/>
      <c r="G174" s="48"/>
      <c r="H174" s="64"/>
      <c r="I174" s="48"/>
      <c r="J174" s="48"/>
      <c r="K174" s="419"/>
    </row>
    <row r="175" spans="1:11">
      <c r="A175" s="39"/>
      <c r="B175" s="100"/>
      <c r="C175" s="39" t="s">
        <v>19</v>
      </c>
      <c r="D175" s="353"/>
      <c r="E175" s="102"/>
      <c r="F175" s="76"/>
      <c r="G175" s="48"/>
      <c r="H175" s="64"/>
      <c r="I175" s="48"/>
      <c r="J175" s="48"/>
      <c r="K175" s="419"/>
    </row>
    <row r="176" spans="1:11">
      <c r="A176" s="39"/>
      <c r="B176" s="100"/>
      <c r="C176" s="105" t="s">
        <v>32</v>
      </c>
      <c r="D176" s="353"/>
      <c r="E176" s="106"/>
      <c r="F176" s="76"/>
      <c r="G176" s="48"/>
      <c r="H176" s="64"/>
      <c r="I176" s="48"/>
      <c r="J176" s="48"/>
      <c r="K176" s="419"/>
    </row>
    <row r="177" spans="1:11">
      <c r="A177" s="39"/>
      <c r="B177" s="100"/>
      <c r="C177" s="105" t="s">
        <v>32</v>
      </c>
      <c r="D177" s="353"/>
      <c r="E177" s="106"/>
      <c r="F177" s="76"/>
      <c r="G177" s="48"/>
      <c r="H177" s="64"/>
      <c r="I177" s="48"/>
      <c r="J177" s="48"/>
      <c r="K177" s="419"/>
    </row>
    <row r="178" spans="1:11">
      <c r="A178" s="39"/>
      <c r="B178" s="107"/>
      <c r="C178" s="108"/>
      <c r="D178" s="353"/>
      <c r="E178" s="106"/>
      <c r="F178" s="353"/>
      <c r="G178" s="101"/>
      <c r="H178" s="64"/>
      <c r="I178" s="101"/>
      <c r="J178" s="101"/>
      <c r="K178" s="419"/>
    </row>
    <row r="179" spans="1:11">
      <c r="A179" s="39"/>
      <c r="B179" s="100"/>
      <c r="C179" s="39" t="s">
        <v>19</v>
      </c>
      <c r="D179" s="353"/>
      <c r="E179" s="102"/>
      <c r="F179" s="353"/>
      <c r="G179" s="61"/>
      <c r="H179" s="64"/>
      <c r="I179" s="48"/>
      <c r="J179" s="48"/>
      <c r="K179" s="419"/>
    </row>
    <row r="180" spans="1:11">
      <c r="A180" s="39"/>
      <c r="B180" s="100"/>
      <c r="C180" s="39" t="s">
        <v>19</v>
      </c>
      <c r="D180" s="353"/>
      <c r="E180" s="102"/>
      <c r="F180" s="76"/>
      <c r="G180" s="48"/>
      <c r="H180" s="64"/>
      <c r="I180" s="48"/>
      <c r="J180" s="48"/>
      <c r="K180" s="419"/>
    </row>
    <row r="181" spans="1:11">
      <c r="A181" s="39"/>
      <c r="B181" s="100"/>
      <c r="C181" s="39" t="s">
        <v>19</v>
      </c>
      <c r="D181" s="353"/>
      <c r="E181" s="102"/>
      <c r="F181" s="76"/>
      <c r="G181" s="48"/>
      <c r="H181" s="64"/>
      <c r="I181" s="48"/>
      <c r="J181" s="48"/>
      <c r="K181" s="419"/>
    </row>
    <row r="182" spans="1:11">
      <c r="A182" s="39"/>
      <c r="B182" s="100"/>
      <c r="C182" s="39" t="s">
        <v>19</v>
      </c>
      <c r="D182" s="353"/>
      <c r="E182" s="102"/>
      <c r="F182" s="76"/>
      <c r="G182" s="48"/>
      <c r="H182" s="64"/>
      <c r="I182" s="48"/>
      <c r="J182" s="48"/>
      <c r="K182" s="419"/>
    </row>
    <row r="183" spans="1:11">
      <c r="A183" s="39"/>
      <c r="B183" s="100"/>
      <c r="C183" s="39" t="s">
        <v>19</v>
      </c>
      <c r="D183" s="353"/>
      <c r="E183" s="102"/>
      <c r="F183" s="76"/>
      <c r="G183" s="48"/>
      <c r="H183" s="64"/>
      <c r="I183" s="48"/>
      <c r="J183" s="48"/>
      <c r="K183" s="419"/>
    </row>
    <row r="184" spans="1:11">
      <c r="A184" s="39"/>
      <c r="B184" s="100"/>
      <c r="C184" s="39" t="s">
        <v>19</v>
      </c>
      <c r="D184" s="353"/>
      <c r="E184" s="102"/>
      <c r="F184" s="76"/>
      <c r="G184" s="48"/>
      <c r="H184" s="64"/>
      <c r="I184" s="48"/>
      <c r="J184" s="48"/>
      <c r="K184" s="419"/>
    </row>
    <row r="185" spans="1:11">
      <c r="A185" s="39"/>
      <c r="B185" s="100"/>
      <c r="C185" s="105" t="s">
        <v>32</v>
      </c>
      <c r="D185" s="353"/>
      <c r="E185" s="106"/>
      <c r="F185" s="76"/>
      <c r="G185" s="48"/>
      <c r="H185" s="64"/>
      <c r="I185" s="48"/>
      <c r="J185" s="48"/>
      <c r="K185" s="419"/>
    </row>
    <row r="186" spans="1:11">
      <c r="A186" s="39"/>
      <c r="B186" s="100"/>
      <c r="C186" s="105" t="s">
        <v>32</v>
      </c>
      <c r="D186" s="353"/>
      <c r="E186" s="106"/>
      <c r="F186" s="76"/>
      <c r="G186" s="48"/>
      <c r="H186" s="64"/>
      <c r="I186" s="48"/>
      <c r="J186" s="48"/>
      <c r="K186" s="419"/>
    </row>
    <row r="187" spans="1:11">
      <c r="A187" s="39"/>
      <c r="B187" s="107"/>
      <c r="C187" s="105"/>
      <c r="D187" s="353"/>
      <c r="E187" s="106"/>
      <c r="F187" s="353"/>
      <c r="G187" s="101"/>
      <c r="H187" s="64"/>
      <c r="I187" s="101"/>
      <c r="J187" s="101"/>
      <c r="K187" s="419"/>
    </row>
    <row r="188" spans="1:11">
      <c r="A188" s="39"/>
      <c r="B188" s="100"/>
      <c r="C188" s="39" t="s">
        <v>19</v>
      </c>
      <c r="D188" s="353"/>
      <c r="E188" s="102"/>
      <c r="F188" s="76"/>
      <c r="G188" s="48"/>
      <c r="H188" s="64"/>
      <c r="I188" s="48"/>
      <c r="J188" s="48"/>
      <c r="K188" s="419"/>
    </row>
    <row r="189" spans="1:11">
      <c r="A189" s="39"/>
      <c r="B189" s="100"/>
      <c r="C189" s="39" t="s">
        <v>19</v>
      </c>
      <c r="D189" s="353"/>
      <c r="E189" s="102"/>
      <c r="F189" s="76"/>
      <c r="G189" s="48"/>
      <c r="H189" s="64"/>
      <c r="I189" s="48"/>
      <c r="J189" s="48"/>
      <c r="K189" s="419"/>
    </row>
    <row r="190" spans="1:11">
      <c r="A190" s="39"/>
      <c r="B190" s="100"/>
      <c r="C190" s="39" t="s">
        <v>19</v>
      </c>
      <c r="D190" s="353"/>
      <c r="E190" s="102"/>
      <c r="F190" s="76"/>
      <c r="G190" s="48"/>
      <c r="H190" s="64"/>
      <c r="I190" s="48"/>
      <c r="J190" s="48"/>
      <c r="K190" s="419"/>
    </row>
    <row r="191" spans="1:11">
      <c r="A191" s="39"/>
      <c r="B191" s="100"/>
      <c r="C191" s="39" t="s">
        <v>19</v>
      </c>
      <c r="D191" s="353"/>
      <c r="E191" s="102"/>
      <c r="F191" s="76"/>
      <c r="G191" s="48"/>
      <c r="H191" s="64"/>
      <c r="I191" s="48"/>
      <c r="J191" s="48"/>
      <c r="K191" s="419"/>
    </row>
    <row r="192" spans="1:11">
      <c r="A192" s="39"/>
      <c r="B192" s="100"/>
      <c r="C192" s="39" t="s">
        <v>19</v>
      </c>
      <c r="D192" s="353"/>
      <c r="E192" s="102"/>
      <c r="F192" s="76"/>
      <c r="G192" s="48"/>
      <c r="H192" s="64"/>
      <c r="I192" s="48"/>
      <c r="J192" s="48"/>
      <c r="K192" s="419"/>
    </row>
    <row r="193" spans="1:11">
      <c r="A193" s="39"/>
      <c r="B193" s="100"/>
      <c r="C193" s="39" t="s">
        <v>19</v>
      </c>
      <c r="D193" s="353"/>
      <c r="E193" s="102"/>
      <c r="F193" s="76"/>
      <c r="G193" s="48"/>
      <c r="H193" s="64"/>
      <c r="I193" s="48"/>
      <c r="J193" s="48"/>
      <c r="K193" s="419"/>
    </row>
    <row r="194" spans="1:11">
      <c r="A194" s="39"/>
      <c r="B194" s="100"/>
      <c r="C194" s="105" t="s">
        <v>32</v>
      </c>
      <c r="D194" s="353"/>
      <c r="E194" s="106"/>
      <c r="F194" s="76"/>
      <c r="G194" s="48"/>
      <c r="H194" s="64"/>
      <c r="I194" s="48"/>
      <c r="J194" s="48"/>
      <c r="K194" s="419"/>
    </row>
    <row r="195" spans="1:11">
      <c r="A195" s="39"/>
      <c r="B195" s="100"/>
      <c r="C195" s="105" t="s">
        <v>32</v>
      </c>
      <c r="D195" s="353"/>
      <c r="E195" s="106"/>
      <c r="F195" s="76"/>
      <c r="G195" s="48"/>
      <c r="H195" s="64"/>
      <c r="I195" s="48"/>
      <c r="J195" s="48"/>
      <c r="K195" s="419"/>
    </row>
    <row r="196" spans="1:11">
      <c r="A196" s="39"/>
      <c r="B196" s="107"/>
      <c r="C196" s="39"/>
      <c r="D196" s="353"/>
      <c r="E196" s="106"/>
      <c r="F196" s="353"/>
      <c r="G196" s="101"/>
      <c r="H196" s="64"/>
      <c r="I196" s="101"/>
      <c r="J196" s="101"/>
      <c r="K196" s="419"/>
    </row>
    <row r="197" spans="1:11">
      <c r="A197" s="39"/>
      <c r="B197" s="100"/>
      <c r="C197" s="39" t="s">
        <v>17</v>
      </c>
      <c r="D197" s="353"/>
      <c r="E197" s="106"/>
      <c r="F197" s="76"/>
      <c r="G197" s="48"/>
      <c r="H197" s="64"/>
      <c r="I197" s="48"/>
      <c r="J197" s="48"/>
      <c r="K197" s="419"/>
    </row>
    <row r="198" spans="1:11">
      <c r="A198" s="39"/>
      <c r="B198" s="100"/>
      <c r="C198" s="39" t="s">
        <v>17</v>
      </c>
      <c r="D198" s="353"/>
      <c r="E198" s="106"/>
      <c r="F198" s="76"/>
      <c r="G198" s="48"/>
      <c r="H198" s="64"/>
      <c r="I198" s="48"/>
      <c r="J198" s="48"/>
      <c r="K198" s="419"/>
    </row>
    <row r="199" spans="1:11">
      <c r="A199" s="39"/>
      <c r="B199" s="100"/>
      <c r="C199" s="39" t="s">
        <v>17</v>
      </c>
      <c r="D199" s="353"/>
      <c r="E199" s="106"/>
      <c r="F199" s="76"/>
      <c r="G199" s="48"/>
      <c r="H199" s="64"/>
      <c r="I199" s="48"/>
      <c r="J199" s="48"/>
      <c r="K199" s="419"/>
    </row>
    <row r="200" spans="1:11">
      <c r="A200" s="39"/>
      <c r="B200" s="107"/>
      <c r="C200" s="39"/>
      <c r="D200" s="353"/>
      <c r="E200" s="106"/>
      <c r="F200" s="353"/>
      <c r="G200" s="101"/>
      <c r="H200" s="64"/>
      <c r="I200" s="101"/>
      <c r="J200" s="101"/>
      <c r="K200" s="419"/>
    </row>
    <row r="201" spans="1:11">
      <c r="A201" s="41"/>
      <c r="B201" s="100"/>
      <c r="C201" s="39" t="s">
        <v>17</v>
      </c>
      <c r="D201" s="353"/>
      <c r="E201" s="106"/>
      <c r="F201" s="76"/>
      <c r="G201" s="48"/>
      <c r="H201" s="64"/>
      <c r="I201" s="48"/>
      <c r="J201" s="48"/>
      <c r="K201" s="419"/>
    </row>
    <row r="202" spans="1:11">
      <c r="A202" s="41"/>
      <c r="B202" s="100"/>
      <c r="C202" s="39" t="s">
        <v>17</v>
      </c>
      <c r="D202" s="353"/>
      <c r="E202" s="106"/>
      <c r="F202" s="76"/>
      <c r="G202" s="48"/>
      <c r="H202" s="64"/>
      <c r="I202" s="48"/>
      <c r="J202" s="48"/>
      <c r="K202" s="419"/>
    </row>
    <row r="203" spans="1:11">
      <c r="A203" s="41"/>
      <c r="B203" s="100"/>
      <c r="C203" s="39" t="s">
        <v>17</v>
      </c>
      <c r="D203" s="353"/>
      <c r="E203" s="106"/>
      <c r="F203" s="76"/>
      <c r="G203" s="48"/>
      <c r="H203" s="64"/>
      <c r="I203" s="48"/>
      <c r="J203" s="48"/>
      <c r="K203" s="419"/>
    </row>
    <row r="204" spans="1:11">
      <c r="A204" s="41"/>
      <c r="B204" s="100"/>
      <c r="C204" s="39" t="s">
        <v>17</v>
      </c>
      <c r="D204" s="353"/>
      <c r="E204" s="106"/>
      <c r="F204" s="76"/>
      <c r="G204" s="48"/>
      <c r="H204" s="64"/>
      <c r="I204" s="48"/>
      <c r="J204" s="48"/>
      <c r="K204" s="419"/>
    </row>
    <row r="205" spans="1:11">
      <c r="A205" s="39"/>
      <c r="B205" s="107"/>
      <c r="C205" s="105"/>
      <c r="D205" s="353"/>
      <c r="E205" s="106"/>
      <c r="F205" s="353"/>
      <c r="G205" s="101"/>
      <c r="H205" s="64"/>
      <c r="I205" s="101"/>
      <c r="J205" s="101"/>
      <c r="K205" s="419"/>
    </row>
    <row r="206" spans="1:11">
      <c r="A206" s="39"/>
      <c r="B206" s="100"/>
      <c r="C206" s="39" t="s">
        <v>17</v>
      </c>
      <c r="D206" s="353"/>
      <c r="E206" s="106"/>
      <c r="F206" s="76"/>
      <c r="G206" s="48"/>
      <c r="H206" s="64"/>
      <c r="I206" s="48"/>
      <c r="J206" s="48"/>
      <c r="K206" s="419"/>
    </row>
    <row r="207" spans="1:11">
      <c r="A207" s="41"/>
      <c r="B207" s="100"/>
      <c r="C207" s="39" t="s">
        <v>17</v>
      </c>
      <c r="D207" s="353"/>
      <c r="E207" s="106"/>
      <c r="F207" s="76"/>
      <c r="G207" s="48"/>
      <c r="H207" s="64"/>
      <c r="I207" s="48"/>
      <c r="J207" s="48"/>
      <c r="K207" s="419"/>
    </row>
    <row r="208" spans="1:11">
      <c r="A208" s="41"/>
      <c r="B208" s="100"/>
      <c r="C208" s="39" t="s">
        <v>17</v>
      </c>
      <c r="D208" s="353"/>
      <c r="E208" s="106"/>
      <c r="F208" s="76"/>
      <c r="G208" s="48"/>
      <c r="H208" s="64"/>
      <c r="I208" s="48"/>
      <c r="J208" s="48"/>
      <c r="K208" s="419"/>
    </row>
    <row r="209" spans="1:11">
      <c r="A209" s="41"/>
      <c r="B209" s="100"/>
      <c r="C209" s="39" t="s">
        <v>17</v>
      </c>
      <c r="D209" s="353"/>
      <c r="E209" s="106"/>
      <c r="F209" s="76"/>
      <c r="G209" s="48"/>
      <c r="H209" s="64"/>
      <c r="I209" s="48"/>
      <c r="J209" s="48"/>
      <c r="K209" s="419"/>
    </row>
    <row r="210" spans="1:11">
      <c r="A210" s="41"/>
      <c r="B210" s="100"/>
      <c r="C210" s="39" t="s">
        <v>17</v>
      </c>
      <c r="D210" s="353"/>
      <c r="E210" s="106"/>
      <c r="F210" s="76"/>
      <c r="G210" s="48"/>
      <c r="H210" s="64"/>
      <c r="I210" s="48"/>
      <c r="J210" s="48"/>
      <c r="K210" s="419"/>
    </row>
    <row r="211" spans="1:11">
      <c r="A211" s="39"/>
      <c r="B211" s="107"/>
      <c r="C211" s="105"/>
      <c r="D211" s="353"/>
      <c r="E211" s="106"/>
      <c r="F211" s="353"/>
      <c r="G211" s="101"/>
      <c r="H211" s="64"/>
      <c r="I211" s="101"/>
      <c r="J211" s="101"/>
      <c r="K211" s="419"/>
    </row>
    <row r="212" spans="1:11">
      <c r="A212" s="41"/>
      <c r="B212" s="100"/>
      <c r="C212" s="39" t="s">
        <v>17</v>
      </c>
      <c r="D212" s="353"/>
      <c r="E212" s="106"/>
      <c r="F212" s="76"/>
      <c r="G212" s="48"/>
      <c r="H212" s="64"/>
      <c r="I212" s="48"/>
      <c r="J212" s="48"/>
      <c r="K212" s="419"/>
    </row>
    <row r="213" spans="1:11">
      <c r="A213" s="41"/>
      <c r="B213" s="100"/>
      <c r="C213" s="39" t="s">
        <v>17</v>
      </c>
      <c r="D213" s="353"/>
      <c r="E213" s="106"/>
      <c r="F213" s="353"/>
      <c r="G213" s="61"/>
      <c r="H213" s="64"/>
      <c r="I213" s="61"/>
      <c r="J213" s="61"/>
      <c r="K213" s="419"/>
    </row>
    <row r="214" spans="1:11">
      <c r="A214" s="41"/>
      <c r="B214" s="100"/>
      <c r="C214" s="39" t="s">
        <v>17</v>
      </c>
      <c r="D214" s="353"/>
      <c r="E214" s="106"/>
      <c r="F214" s="76"/>
      <c r="G214" s="48"/>
      <c r="H214" s="64"/>
      <c r="I214" s="48"/>
      <c r="J214" s="48"/>
      <c r="K214" s="419"/>
    </row>
    <row r="215" spans="1:11">
      <c r="A215" s="41"/>
      <c r="B215" s="100"/>
      <c r="C215" s="39" t="s">
        <v>17</v>
      </c>
      <c r="D215" s="353"/>
      <c r="E215" s="106"/>
      <c r="F215" s="76"/>
      <c r="G215" s="48"/>
      <c r="H215" s="64"/>
      <c r="I215" s="48"/>
      <c r="J215" s="48"/>
      <c r="K215" s="419"/>
    </row>
    <row r="216" spans="1:11">
      <c r="A216" s="39"/>
      <c r="B216" s="100"/>
      <c r="C216" s="39" t="s">
        <v>17</v>
      </c>
      <c r="D216" s="353"/>
      <c r="E216" s="106"/>
      <c r="F216" s="353"/>
      <c r="G216" s="48"/>
      <c r="H216" s="64"/>
      <c r="I216" s="48"/>
      <c r="J216" s="48"/>
      <c r="K216" s="419"/>
    </row>
    <row r="217" spans="1:11">
      <c r="A217" s="39"/>
      <c r="B217" s="107"/>
      <c r="C217" s="108"/>
      <c r="D217" s="353"/>
      <c r="E217" s="106"/>
      <c r="F217" s="353"/>
      <c r="G217" s="101"/>
      <c r="H217" s="64"/>
      <c r="I217" s="101"/>
      <c r="J217" s="101"/>
      <c r="K217" s="419"/>
    </row>
    <row r="218" spans="1:11">
      <c r="A218" s="39"/>
      <c r="B218" s="107"/>
      <c r="C218" s="39" t="s">
        <v>17</v>
      </c>
      <c r="D218" s="353"/>
      <c r="E218" s="106"/>
      <c r="F218" s="76"/>
      <c r="G218" s="48"/>
      <c r="H218" s="64"/>
      <c r="I218" s="48"/>
      <c r="J218" s="48"/>
      <c r="K218" s="419"/>
    </row>
    <row r="219" spans="1:11">
      <c r="A219" s="39"/>
      <c r="B219" s="107"/>
      <c r="C219" s="39" t="s">
        <v>17</v>
      </c>
      <c r="D219" s="353"/>
      <c r="E219" s="106"/>
      <c r="F219" s="76"/>
      <c r="G219" s="48"/>
      <c r="H219" s="64"/>
      <c r="I219" s="48"/>
      <c r="J219" s="48"/>
      <c r="K219" s="419"/>
    </row>
    <row r="220" spans="1:11">
      <c r="A220" s="39"/>
      <c r="B220" s="100"/>
      <c r="C220" s="39" t="s">
        <v>17</v>
      </c>
      <c r="D220" s="353"/>
      <c r="E220" s="106"/>
      <c r="F220" s="76"/>
      <c r="G220" s="48"/>
      <c r="H220" s="64"/>
      <c r="I220" s="48"/>
      <c r="J220" s="48"/>
      <c r="K220" s="419"/>
    </row>
    <row r="221" spans="1:11">
      <c r="A221" s="109"/>
      <c r="B221" s="100"/>
      <c r="C221" s="105" t="s">
        <v>32</v>
      </c>
      <c r="D221" s="353"/>
      <c r="E221" s="106"/>
      <c r="F221" s="76"/>
      <c r="G221" s="48"/>
      <c r="H221" s="64"/>
      <c r="I221" s="48"/>
      <c r="J221" s="48"/>
      <c r="K221" s="419"/>
    </row>
    <row r="222" spans="1:11">
      <c r="A222" s="110"/>
      <c r="B222" s="111"/>
      <c r="C222" s="112"/>
      <c r="D222" s="417"/>
      <c r="E222" s="113"/>
      <c r="F222" s="82"/>
      <c r="G222" s="114"/>
      <c r="H222" s="84"/>
      <c r="I222" s="114"/>
      <c r="J222" s="114"/>
      <c r="K222" s="418"/>
    </row>
    <row r="223" spans="1:11">
      <c r="A223" s="115"/>
      <c r="B223" s="51"/>
      <c r="C223" s="116"/>
      <c r="D223" s="414"/>
      <c r="E223" s="428"/>
      <c r="F223" s="414"/>
      <c r="G223" s="93"/>
      <c r="H223" s="90"/>
      <c r="I223" s="93"/>
      <c r="J223" s="117"/>
      <c r="K223" s="429"/>
    </row>
    <row r="224" spans="1:11">
      <c r="A224" s="34"/>
      <c r="B224" s="119"/>
      <c r="C224" s="120"/>
      <c r="D224" s="431"/>
      <c r="E224" s="430"/>
      <c r="F224" s="431"/>
      <c r="G224" s="121"/>
      <c r="H224" s="123"/>
      <c r="I224" s="121"/>
      <c r="J224" s="121"/>
      <c r="K224" s="432"/>
    </row>
    <row r="225" spans="1:11">
      <c r="A225" s="95"/>
      <c r="B225" s="96"/>
      <c r="C225" s="97"/>
      <c r="D225" s="417"/>
      <c r="E225" s="113"/>
      <c r="F225" s="417"/>
      <c r="G225" s="98"/>
      <c r="H225" s="84"/>
      <c r="I225" s="98"/>
      <c r="J225" s="125"/>
      <c r="K225" s="433"/>
    </row>
    <row r="226" spans="1:11">
      <c r="A226" s="39"/>
      <c r="B226" s="100"/>
      <c r="C226" s="39" t="s">
        <v>19</v>
      </c>
      <c r="D226" s="353"/>
      <c r="E226" s="106"/>
      <c r="F226" s="353"/>
      <c r="G226" s="48"/>
      <c r="H226" s="64"/>
      <c r="I226" s="48"/>
      <c r="J226" s="48"/>
      <c r="K226" s="344"/>
    </row>
    <row r="227" spans="1:11">
      <c r="A227" s="39"/>
      <c r="B227" s="100"/>
      <c r="C227" s="39" t="s">
        <v>19</v>
      </c>
      <c r="D227" s="353"/>
      <c r="E227" s="106"/>
      <c r="F227" s="353"/>
      <c r="G227" s="48"/>
      <c r="H227" s="64"/>
      <c r="I227" s="48"/>
      <c r="J227" s="48"/>
      <c r="K227" s="344"/>
    </row>
    <row r="228" spans="1:11">
      <c r="A228" s="39"/>
      <c r="B228" s="100"/>
      <c r="C228" s="39" t="s">
        <v>19</v>
      </c>
      <c r="D228" s="353"/>
      <c r="E228" s="106"/>
      <c r="F228" s="353"/>
      <c r="G228" s="48"/>
      <c r="H228" s="64"/>
      <c r="I228" s="48"/>
      <c r="J228" s="48"/>
      <c r="K228" s="344"/>
    </row>
    <row r="229" spans="1:11">
      <c r="A229" s="39"/>
      <c r="B229" s="100"/>
      <c r="C229" s="39" t="s">
        <v>19</v>
      </c>
      <c r="D229" s="353"/>
      <c r="E229" s="106"/>
      <c r="F229" s="353"/>
      <c r="G229" s="48"/>
      <c r="H229" s="64"/>
      <c r="I229" s="48"/>
      <c r="J229" s="48"/>
      <c r="K229" s="434"/>
    </row>
    <row r="230" spans="1:11">
      <c r="A230" s="39"/>
      <c r="B230" s="100"/>
      <c r="C230" s="39" t="s">
        <v>19</v>
      </c>
      <c r="D230" s="353"/>
      <c r="E230" s="106"/>
      <c r="F230" s="353"/>
      <c r="G230" s="42"/>
      <c r="H230" s="64"/>
      <c r="I230" s="48"/>
      <c r="J230" s="48"/>
      <c r="K230" s="434"/>
    </row>
    <row r="231" spans="1:11">
      <c r="A231" s="39"/>
      <c r="B231" s="100"/>
      <c r="C231" s="105" t="s">
        <v>32</v>
      </c>
      <c r="D231" s="353"/>
      <c r="E231" s="106"/>
      <c r="F231" s="353"/>
      <c r="G231" s="48"/>
      <c r="H231" s="64"/>
      <c r="I231" s="48"/>
      <c r="J231" s="48"/>
      <c r="K231" s="434"/>
    </row>
    <row r="232" spans="1:11">
      <c r="A232" s="39"/>
      <c r="B232" s="100"/>
      <c r="C232" s="105" t="s">
        <v>32</v>
      </c>
      <c r="D232" s="353"/>
      <c r="E232" s="106"/>
      <c r="F232" s="353"/>
      <c r="G232" s="48"/>
      <c r="H232" s="64"/>
      <c r="I232" s="48"/>
      <c r="J232" s="48"/>
      <c r="K232" s="434"/>
    </row>
    <row r="233" spans="1:11">
      <c r="A233" s="39"/>
      <c r="B233" s="107"/>
      <c r="C233" s="39" t="s">
        <v>17</v>
      </c>
      <c r="D233" s="353"/>
      <c r="E233" s="106"/>
      <c r="F233" s="76"/>
      <c r="G233" s="48"/>
      <c r="H233" s="64"/>
      <c r="I233" s="48"/>
      <c r="J233" s="48"/>
      <c r="K233" s="344"/>
    </row>
    <row r="234" spans="1:11">
      <c r="A234" s="39"/>
      <c r="B234" s="100"/>
      <c r="C234" s="105" t="s">
        <v>32</v>
      </c>
      <c r="D234" s="353"/>
      <c r="E234" s="39"/>
      <c r="F234" s="76"/>
      <c r="G234" s="48"/>
      <c r="H234" s="44"/>
      <c r="I234" s="48"/>
      <c r="J234" s="48"/>
      <c r="K234" s="434"/>
    </row>
    <row r="235" spans="1:11">
      <c r="A235" s="39"/>
      <c r="B235" s="100"/>
      <c r="C235" s="105" t="s">
        <v>32</v>
      </c>
      <c r="D235" s="353"/>
      <c r="E235" s="39"/>
      <c r="F235" s="76"/>
      <c r="G235" s="48"/>
      <c r="H235" s="44"/>
      <c r="I235" s="48"/>
      <c r="J235" s="48"/>
      <c r="K235" s="434"/>
    </row>
    <row r="236" spans="1:11">
      <c r="A236" s="39"/>
      <c r="B236" s="100"/>
      <c r="C236" s="105" t="s">
        <v>32</v>
      </c>
      <c r="D236" s="492"/>
      <c r="E236" s="39"/>
      <c r="F236" s="76"/>
      <c r="G236" s="48"/>
      <c r="H236" s="64"/>
      <c r="I236" s="48"/>
      <c r="J236" s="48"/>
      <c r="K236" s="434"/>
    </row>
    <row r="237" spans="1:11">
      <c r="A237" s="95"/>
      <c r="B237" s="111"/>
      <c r="C237" s="112"/>
      <c r="D237" s="492"/>
      <c r="E237" s="95"/>
      <c r="F237" s="82"/>
      <c r="G237" s="114"/>
      <c r="H237" s="84"/>
      <c r="I237" s="114"/>
      <c r="J237" s="114"/>
      <c r="K237" s="435"/>
    </row>
    <row r="238" spans="1:11">
      <c r="A238" s="115"/>
      <c r="B238" s="51"/>
      <c r="C238" s="94"/>
      <c r="D238" s="414"/>
      <c r="E238" s="436"/>
      <c r="F238" s="437"/>
      <c r="G238" s="130"/>
      <c r="H238" s="132"/>
      <c r="I238" s="130"/>
      <c r="J238" s="133"/>
      <c r="K238" s="438"/>
    </row>
    <row r="239" spans="1:11">
      <c r="A239" s="135"/>
      <c r="B239" s="136"/>
      <c r="C239" s="137"/>
      <c r="D239" s="493"/>
      <c r="E239" s="439"/>
      <c r="F239" s="440"/>
      <c r="G239" s="140"/>
      <c r="H239" s="141"/>
      <c r="I239" s="142"/>
      <c r="J239" s="143"/>
      <c r="K239" s="441"/>
    </row>
    <row r="240" spans="1:11">
      <c r="A240" s="39"/>
      <c r="B240" s="107"/>
      <c r="C240" s="39"/>
      <c r="D240" s="145"/>
      <c r="E240" s="39"/>
      <c r="F240" s="145"/>
      <c r="G240" s="48"/>
      <c r="H240" s="5"/>
      <c r="I240" s="146"/>
      <c r="J240" s="43"/>
      <c r="K240" s="3"/>
    </row>
    <row r="241" spans="1:11">
      <c r="A241" s="39"/>
      <c r="B241" s="107"/>
      <c r="C241" s="39"/>
      <c r="D241" s="145"/>
      <c r="E241" s="39"/>
      <c r="F241" s="145"/>
      <c r="G241" s="48"/>
      <c r="H241" s="5"/>
      <c r="I241" s="146"/>
      <c r="J241" s="43"/>
      <c r="K241" s="3"/>
    </row>
    <row r="242" spans="1:11">
      <c r="A242" s="39"/>
      <c r="B242" s="107"/>
      <c r="C242" s="39"/>
      <c r="D242" s="145"/>
      <c r="E242" s="39"/>
      <c r="F242" s="145"/>
      <c r="G242" s="48"/>
      <c r="H242" s="5"/>
      <c r="I242" s="146"/>
      <c r="J242" s="43"/>
      <c r="K242" s="3"/>
    </row>
    <row r="243" spans="1:11">
      <c r="A243" s="39"/>
      <c r="B243" s="107"/>
      <c r="C243" s="39"/>
      <c r="D243" s="145"/>
      <c r="E243" s="39"/>
      <c r="F243" s="145"/>
      <c r="G243" s="48"/>
      <c r="H243" s="5"/>
      <c r="I243" s="146"/>
      <c r="J243" s="43"/>
      <c r="K243" s="3"/>
    </row>
    <row r="244" spans="1:11">
      <c r="A244" s="39"/>
      <c r="B244" s="107"/>
      <c r="C244" s="39"/>
      <c r="D244" s="145"/>
      <c r="E244" s="39"/>
      <c r="F244" s="145"/>
      <c r="G244" s="48"/>
      <c r="H244" s="5"/>
      <c r="I244" s="146"/>
      <c r="J244" s="43"/>
      <c r="K244" s="3"/>
    </row>
    <row r="245" spans="1:11">
      <c r="A245" s="39"/>
      <c r="B245" s="148"/>
      <c r="C245" s="39"/>
      <c r="D245" s="353"/>
      <c r="E245" s="149"/>
      <c r="F245" s="69"/>
      <c r="G245" s="149"/>
      <c r="H245" s="44"/>
      <c r="I245" s="146"/>
      <c r="J245" s="150"/>
      <c r="K245" s="3"/>
    </row>
    <row r="246" spans="1:11">
      <c r="A246" s="39"/>
      <c r="B246" s="107"/>
      <c r="C246" s="39"/>
      <c r="D246" s="353"/>
      <c r="E246" s="149"/>
      <c r="F246" s="69"/>
      <c r="G246" s="149"/>
      <c r="H246" s="44"/>
      <c r="I246" s="146"/>
      <c r="J246" s="150"/>
      <c r="K246" s="3"/>
    </row>
    <row r="247" spans="1:11">
      <c r="A247" s="95"/>
      <c r="B247" s="151"/>
      <c r="C247" s="152"/>
      <c r="D247" s="417"/>
      <c r="E247" s="153"/>
      <c r="F247" s="442"/>
      <c r="G247" s="153"/>
      <c r="H247" s="155"/>
      <c r="I247" s="156"/>
      <c r="J247" s="157"/>
      <c r="K247" s="443"/>
    </row>
    <row r="248" spans="1:11">
      <c r="A248" s="51"/>
      <c r="B248" s="159"/>
      <c r="C248" s="160"/>
      <c r="D248" s="117"/>
      <c r="E248" s="51"/>
      <c r="F248" s="444"/>
      <c r="G248" s="162"/>
      <c r="H248" s="163"/>
      <c r="I248" s="162"/>
      <c r="J248" s="164"/>
      <c r="K248" s="402"/>
    </row>
    <row r="249" spans="1:11">
      <c r="A249" s="135"/>
      <c r="B249" s="166"/>
      <c r="C249" s="166"/>
      <c r="D249" s="445"/>
      <c r="E249" s="135"/>
      <c r="F249" s="445"/>
      <c r="G249" s="169"/>
      <c r="H249" s="170"/>
      <c r="I249" s="138"/>
      <c r="J249" s="143"/>
      <c r="K249" s="441"/>
    </row>
    <row r="250" spans="1:11">
      <c r="A250" s="39"/>
      <c r="B250" s="107"/>
      <c r="C250" s="39"/>
      <c r="D250" s="145"/>
      <c r="E250" s="39"/>
      <c r="F250" s="76"/>
      <c r="G250" s="48"/>
      <c r="H250" s="44"/>
      <c r="I250" s="48"/>
      <c r="J250" s="48"/>
      <c r="K250" s="3"/>
    </row>
    <row r="251" spans="1:11">
      <c r="A251" s="39"/>
      <c r="B251" s="107"/>
      <c r="C251" s="39"/>
      <c r="D251" s="145"/>
      <c r="E251" s="149"/>
      <c r="F251" s="145"/>
      <c r="G251" s="149"/>
      <c r="H251" s="5"/>
      <c r="I251" s="146"/>
      <c r="J251" s="150"/>
      <c r="K251" s="3"/>
    </row>
    <row r="252" spans="1:11">
      <c r="A252" s="135"/>
      <c r="B252" s="171"/>
      <c r="C252" s="172"/>
      <c r="D252" s="445"/>
      <c r="E252" s="173"/>
      <c r="F252" s="446"/>
      <c r="G252" s="175"/>
      <c r="H252" s="176"/>
      <c r="I252" s="177"/>
      <c r="J252" s="143"/>
      <c r="K252" s="447"/>
    </row>
    <row r="253" spans="1:11" s="183" customFormat="1">
      <c r="A253" s="51"/>
      <c r="B253" s="35"/>
      <c r="C253" s="179"/>
      <c r="D253" s="117"/>
      <c r="E253" s="356"/>
      <c r="F253" s="448"/>
      <c r="G253" s="164"/>
      <c r="H253" s="181"/>
      <c r="I253" s="164"/>
      <c r="J253" s="164"/>
      <c r="K253" s="402"/>
    </row>
    <row r="254" spans="1:11">
      <c r="A254" s="51"/>
      <c r="B254" s="184"/>
      <c r="C254" s="185"/>
      <c r="D254" s="117"/>
      <c r="E254" s="51"/>
      <c r="F254" s="322"/>
      <c r="G254" s="187"/>
      <c r="H254" s="188"/>
      <c r="I254" s="180"/>
      <c r="J254" s="94"/>
      <c r="K254" s="449"/>
    </row>
    <row r="255" spans="1:11">
      <c r="A255" s="190"/>
      <c r="B255" s="191"/>
      <c r="C255" s="192"/>
      <c r="D255" s="494"/>
      <c r="E255" s="193"/>
      <c r="F255" s="450"/>
      <c r="G255" s="140"/>
      <c r="H255" s="195"/>
      <c r="I255" s="196"/>
      <c r="J255" s="197"/>
      <c r="K255" s="451"/>
    </row>
    <row r="256" spans="1:11">
      <c r="A256" s="4"/>
      <c r="B256" s="199"/>
      <c r="C256" s="200"/>
      <c r="D256" s="353"/>
      <c r="E256" s="4"/>
      <c r="F256" s="76"/>
      <c r="G256" s="48"/>
      <c r="H256" s="44"/>
      <c r="I256" s="48"/>
      <c r="J256" s="48"/>
      <c r="K256" s="3"/>
    </row>
    <row r="257" spans="1:11">
      <c r="A257" s="4"/>
      <c r="B257" s="199"/>
      <c r="C257" s="200"/>
      <c r="D257" s="353"/>
      <c r="E257" s="4"/>
      <c r="F257" s="76"/>
      <c r="G257" s="48"/>
      <c r="H257" s="44"/>
      <c r="I257" s="48"/>
      <c r="J257" s="48"/>
      <c r="K257" s="3"/>
    </row>
    <row r="258" spans="1:11">
      <c r="A258" s="4"/>
      <c r="B258" s="199"/>
      <c r="C258" s="201"/>
      <c r="D258" s="353"/>
      <c r="E258" s="4"/>
      <c r="F258" s="76"/>
      <c r="G258" s="48"/>
      <c r="H258" s="44"/>
      <c r="I258" s="48"/>
      <c r="J258" s="48"/>
      <c r="K258" s="3"/>
    </row>
    <row r="259" spans="1:11">
      <c r="A259" s="4"/>
      <c r="B259" s="199"/>
      <c r="C259" s="201"/>
      <c r="D259" s="353"/>
      <c r="E259" s="4"/>
      <c r="F259" s="76"/>
      <c r="G259" s="48"/>
      <c r="H259" s="44"/>
      <c r="I259" s="48"/>
      <c r="J259" s="48"/>
      <c r="K259" s="3"/>
    </row>
    <row r="260" spans="1:11">
      <c r="A260" s="4"/>
      <c r="B260" s="199"/>
      <c r="C260" s="201"/>
      <c r="D260" s="353"/>
      <c r="E260" s="4"/>
      <c r="F260" s="76"/>
      <c r="G260" s="48"/>
      <c r="H260" s="44"/>
      <c r="I260" s="48"/>
      <c r="J260" s="48"/>
      <c r="K260" s="3"/>
    </row>
    <row r="261" spans="1:11">
      <c r="A261" s="4"/>
      <c r="B261" s="199"/>
      <c r="C261" s="202"/>
      <c r="D261" s="353"/>
      <c r="E261" s="4"/>
      <c r="F261" s="76"/>
      <c r="G261" s="48"/>
      <c r="H261" s="44"/>
      <c r="I261" s="48"/>
      <c r="J261" s="48"/>
      <c r="K261" s="3"/>
    </row>
    <row r="262" spans="1:11">
      <c r="A262" s="4"/>
      <c r="B262" s="203"/>
      <c r="C262" s="202"/>
      <c r="D262" s="353"/>
      <c r="E262" s="4"/>
      <c r="F262" s="76"/>
      <c r="G262" s="48"/>
      <c r="H262" s="44"/>
      <c r="I262" s="48"/>
      <c r="J262" s="48"/>
      <c r="K262" s="3"/>
    </row>
    <row r="263" spans="1:11">
      <c r="A263" s="4"/>
      <c r="B263" s="199"/>
      <c r="C263" s="202"/>
      <c r="D263" s="353"/>
      <c r="E263" s="4"/>
      <c r="F263" s="76"/>
      <c r="G263" s="48"/>
      <c r="H263" s="44"/>
      <c r="I263" s="48"/>
      <c r="J263" s="48"/>
      <c r="K263" s="3"/>
    </row>
    <row r="264" spans="1:11">
      <c r="A264" s="4"/>
      <c r="B264" s="199"/>
      <c r="C264" s="202"/>
      <c r="D264" s="353"/>
      <c r="E264" s="4"/>
      <c r="F264" s="76"/>
      <c r="G264" s="48"/>
      <c r="H264" s="44"/>
      <c r="I264" s="48"/>
      <c r="J264" s="48"/>
      <c r="K264" s="3"/>
    </row>
    <row r="265" spans="1:11">
      <c r="A265" s="4"/>
      <c r="B265" s="199"/>
      <c r="C265" s="202"/>
      <c r="D265" s="353"/>
      <c r="E265" s="4"/>
      <c r="F265" s="76"/>
      <c r="G265" s="48"/>
      <c r="H265" s="44"/>
      <c r="I265" s="48"/>
      <c r="J265" s="48"/>
      <c r="K265" s="3"/>
    </row>
    <row r="266" spans="1:11">
      <c r="A266" s="4"/>
      <c r="B266" s="199"/>
      <c r="C266" s="202"/>
      <c r="D266" s="76"/>
      <c r="E266" s="4"/>
      <c r="F266" s="145"/>
      <c r="G266" s="48"/>
      <c r="H266" s="44"/>
      <c r="I266" s="48"/>
      <c r="J266" s="48"/>
      <c r="K266" s="3"/>
    </row>
    <row r="267" spans="1:11">
      <c r="A267" s="4"/>
      <c r="B267" s="199"/>
      <c r="C267" s="202"/>
      <c r="D267" s="76"/>
      <c r="E267" s="4"/>
      <c r="F267" s="145"/>
      <c r="G267" s="48"/>
      <c r="H267" s="44"/>
      <c r="I267" s="48"/>
      <c r="J267" s="48"/>
      <c r="K267" s="3"/>
    </row>
    <row r="268" spans="1:11">
      <c r="A268" s="4"/>
      <c r="B268" s="199"/>
      <c r="C268" s="202"/>
      <c r="D268" s="76"/>
      <c r="E268" s="4"/>
      <c r="F268" s="145"/>
      <c r="G268" s="48"/>
      <c r="H268" s="44"/>
      <c r="I268" s="48"/>
      <c r="J268" s="48"/>
      <c r="K268" s="3"/>
    </row>
    <row r="269" spans="1:11">
      <c r="A269" s="4"/>
      <c r="B269" s="199"/>
      <c r="C269" s="202"/>
      <c r="D269" s="353"/>
      <c r="E269" s="4"/>
      <c r="F269" s="145"/>
      <c r="G269" s="48"/>
      <c r="H269" s="44"/>
      <c r="I269" s="48"/>
      <c r="J269" s="48"/>
      <c r="K269" s="3"/>
    </row>
    <row r="270" spans="1:11">
      <c r="A270" s="4"/>
      <c r="B270" s="199"/>
      <c r="C270" s="202"/>
      <c r="D270" s="353"/>
      <c r="E270" s="4"/>
      <c r="F270" s="145"/>
      <c r="G270" s="48"/>
      <c r="H270" s="44"/>
      <c r="I270" s="48"/>
      <c r="J270" s="48"/>
      <c r="K270" s="3"/>
    </row>
    <row r="271" spans="1:11">
      <c r="A271" s="4"/>
      <c r="B271" s="199"/>
      <c r="C271" s="202"/>
      <c r="D271" s="76"/>
      <c r="E271" s="4"/>
      <c r="F271" s="76"/>
      <c r="G271" s="48"/>
      <c r="H271" s="44"/>
      <c r="I271" s="48"/>
      <c r="J271" s="48"/>
      <c r="K271" s="3"/>
    </row>
    <row r="272" spans="1:11">
      <c r="A272" s="4"/>
      <c r="B272" s="199"/>
      <c r="C272" s="202"/>
      <c r="D272" s="76"/>
      <c r="E272" s="4"/>
      <c r="F272" s="76"/>
      <c r="G272" s="48"/>
      <c r="H272" s="44"/>
      <c r="I272" s="48"/>
      <c r="J272" s="48"/>
      <c r="K272" s="3"/>
    </row>
    <row r="273" spans="1:11">
      <c r="A273" s="4"/>
      <c r="B273" s="199"/>
      <c r="C273" s="204"/>
      <c r="D273" s="76"/>
      <c r="E273" s="4"/>
      <c r="F273" s="76"/>
      <c r="G273" s="48"/>
      <c r="H273" s="44"/>
      <c r="I273" s="48"/>
      <c r="J273" s="48"/>
      <c r="K273" s="3"/>
    </row>
    <row r="274" spans="1:11">
      <c r="A274" s="205"/>
      <c r="B274" s="206"/>
      <c r="C274" s="207"/>
      <c r="D274" s="495"/>
      <c r="E274" s="208"/>
      <c r="F274" s="452"/>
      <c r="G274" s="210"/>
      <c r="H274" s="211"/>
      <c r="I274" s="212"/>
      <c r="J274" s="213"/>
      <c r="K274" s="453"/>
    </row>
    <row r="275" spans="1:11">
      <c r="A275" s="115"/>
      <c r="B275" s="215"/>
      <c r="C275" s="216"/>
      <c r="D275" s="117"/>
      <c r="E275" s="35"/>
      <c r="F275" s="117"/>
      <c r="G275" s="218"/>
      <c r="H275" s="90"/>
      <c r="I275" s="219"/>
      <c r="J275" s="88"/>
      <c r="K275" s="449"/>
    </row>
    <row r="276" spans="1:11">
      <c r="A276" s="190"/>
      <c r="B276" s="220"/>
      <c r="C276" s="221"/>
      <c r="D276" s="494"/>
      <c r="E276" s="193"/>
      <c r="F276" s="450"/>
      <c r="G276" s="140"/>
      <c r="H276" s="195"/>
      <c r="I276" s="196"/>
      <c r="J276" s="197"/>
      <c r="K276" s="451"/>
    </row>
    <row r="277" spans="1:11">
      <c r="A277" s="190"/>
      <c r="B277" s="199"/>
      <c r="C277" s="202"/>
      <c r="D277" s="76"/>
      <c r="E277" s="4"/>
      <c r="F277" s="145"/>
      <c r="G277" s="48"/>
      <c r="H277" s="44"/>
      <c r="I277" s="48"/>
      <c r="J277" s="48"/>
      <c r="K277" s="451"/>
    </row>
    <row r="278" spans="1:11">
      <c r="A278" s="190"/>
      <c r="B278" s="199"/>
      <c r="C278" s="202"/>
      <c r="D278" s="76"/>
      <c r="E278" s="4"/>
      <c r="F278" s="145"/>
      <c r="G278" s="48"/>
      <c r="H278" s="44"/>
      <c r="I278" s="48"/>
      <c r="J278" s="48"/>
      <c r="K278" s="451"/>
    </row>
    <row r="279" spans="1:11">
      <c r="A279" s="190"/>
      <c r="B279" s="199"/>
      <c r="C279" s="204"/>
      <c r="D279" s="353"/>
      <c r="E279" s="4"/>
      <c r="F279" s="76"/>
      <c r="G279" s="48"/>
      <c r="H279" s="44"/>
      <c r="I279" s="48"/>
      <c r="J279" s="48"/>
      <c r="K279" s="451"/>
    </row>
    <row r="280" spans="1:11">
      <c r="A280" s="190"/>
      <c r="B280" s="199"/>
      <c r="C280" s="202"/>
      <c r="D280" s="76"/>
      <c r="E280" s="4"/>
      <c r="F280" s="145"/>
      <c r="G280" s="48"/>
      <c r="H280" s="44"/>
      <c r="I280" s="48"/>
      <c r="J280" s="48"/>
      <c r="K280" s="451"/>
    </row>
    <row r="281" spans="1:11">
      <c r="A281" s="39"/>
      <c r="B281" s="199"/>
      <c r="C281" s="222"/>
      <c r="D281" s="353"/>
      <c r="E281" s="4"/>
      <c r="F281" s="76"/>
      <c r="G281" s="48"/>
      <c r="H281" s="44"/>
      <c r="I281" s="48"/>
      <c r="J281" s="48"/>
      <c r="K281" s="3"/>
    </row>
    <row r="282" spans="1:11">
      <c r="A282" s="39"/>
      <c r="B282" s="199"/>
      <c r="C282" s="202"/>
      <c r="D282" s="353"/>
      <c r="E282" s="4"/>
      <c r="F282" s="76"/>
      <c r="G282" s="48"/>
      <c r="H282" s="44"/>
      <c r="I282" s="48"/>
      <c r="J282" s="48"/>
      <c r="K282" s="3"/>
    </row>
    <row r="283" spans="1:11">
      <c r="A283" s="39"/>
      <c r="B283" s="199"/>
      <c r="C283" s="202"/>
      <c r="D283" s="353"/>
      <c r="E283" s="4"/>
      <c r="F283" s="76"/>
      <c r="G283" s="48"/>
      <c r="H283" s="44"/>
      <c r="I283" s="48"/>
      <c r="J283" s="48"/>
      <c r="K283" s="3"/>
    </row>
    <row r="284" spans="1:11">
      <c r="A284" s="39"/>
      <c r="B284" s="199"/>
      <c r="C284" s="202"/>
      <c r="D284" s="353"/>
      <c r="E284" s="4"/>
      <c r="F284" s="76"/>
      <c r="G284" s="48"/>
      <c r="H284" s="44"/>
      <c r="I284" s="48"/>
      <c r="J284" s="48"/>
      <c r="K284" s="3"/>
    </row>
    <row r="285" spans="1:11">
      <c r="A285" s="4"/>
      <c r="B285" s="199"/>
      <c r="C285" s="202"/>
      <c r="D285" s="353"/>
      <c r="E285" s="4"/>
      <c r="F285" s="76"/>
      <c r="G285" s="48"/>
      <c r="H285" s="44"/>
      <c r="I285" s="48"/>
      <c r="J285" s="48"/>
      <c r="K285" s="3"/>
    </row>
    <row r="286" spans="1:11">
      <c r="A286" s="4"/>
      <c r="B286" s="199"/>
      <c r="C286" s="202"/>
      <c r="D286" s="353"/>
      <c r="E286" s="4"/>
      <c r="F286" s="76"/>
      <c r="G286" s="48"/>
      <c r="H286" s="44"/>
      <c r="I286" s="48"/>
      <c r="J286" s="48"/>
      <c r="K286" s="3"/>
    </row>
    <row r="287" spans="1:11">
      <c r="A287" s="4"/>
      <c r="B287" s="199"/>
      <c r="C287" s="202"/>
      <c r="D287" s="353"/>
      <c r="E287" s="4"/>
      <c r="F287" s="76"/>
      <c r="G287" s="48"/>
      <c r="H287" s="44"/>
      <c r="I287" s="48"/>
      <c r="J287" s="48"/>
      <c r="K287" s="3"/>
    </row>
    <row r="288" spans="1:11">
      <c r="A288" s="4"/>
      <c r="B288" s="199"/>
      <c r="C288" s="202"/>
      <c r="D288" s="76"/>
      <c r="E288" s="4"/>
      <c r="F288" s="76"/>
      <c r="G288" s="48"/>
      <c r="H288" s="44"/>
      <c r="I288" s="48"/>
      <c r="J288" s="48"/>
      <c r="K288" s="3"/>
    </row>
    <row r="289" spans="1:11">
      <c r="A289" s="4"/>
      <c r="B289" s="199"/>
      <c r="C289" s="202"/>
      <c r="D289" s="76"/>
      <c r="E289" s="4"/>
      <c r="F289" s="76"/>
      <c r="G289" s="48"/>
      <c r="H289" s="44"/>
      <c r="I289" s="48"/>
      <c r="J289" s="48"/>
      <c r="K289" s="3"/>
    </row>
    <row r="290" spans="1:11">
      <c r="A290" s="4"/>
      <c r="B290" s="199"/>
      <c r="C290" s="204"/>
      <c r="D290" s="76"/>
      <c r="E290" s="4"/>
      <c r="F290" s="145"/>
      <c r="G290" s="48"/>
      <c r="H290" s="44"/>
      <c r="I290" s="48"/>
      <c r="J290" s="48"/>
      <c r="K290" s="3"/>
    </row>
    <row r="291" spans="1:11">
      <c r="A291" s="205"/>
      <c r="B291" s="223"/>
      <c r="C291" s="207"/>
      <c r="D291" s="495"/>
      <c r="E291" s="208"/>
      <c r="F291" s="452"/>
      <c r="G291" s="210"/>
      <c r="H291" s="211"/>
      <c r="I291" s="212"/>
      <c r="J291" s="213"/>
      <c r="K291" s="453"/>
    </row>
    <row r="292" spans="1:11">
      <c r="A292" s="115"/>
      <c r="B292" s="215"/>
      <c r="C292" s="216"/>
      <c r="D292" s="117"/>
      <c r="E292" s="35"/>
      <c r="F292" s="117"/>
      <c r="G292" s="218"/>
      <c r="H292" s="90"/>
      <c r="I292" s="219"/>
      <c r="J292" s="88"/>
      <c r="K292" s="449"/>
    </row>
    <row r="293" spans="1:11">
      <c r="A293" s="190"/>
      <c r="B293" s="220"/>
      <c r="C293" s="221"/>
      <c r="D293" s="494"/>
      <c r="E293" s="193"/>
      <c r="F293" s="450"/>
      <c r="G293" s="140"/>
      <c r="H293" s="195"/>
      <c r="I293" s="196"/>
      <c r="J293" s="197"/>
      <c r="K293" s="451"/>
    </row>
    <row r="294" spans="1:11">
      <c r="A294" s="39"/>
      <c r="B294" s="224"/>
      <c r="C294" s="225"/>
      <c r="D294" s="76"/>
      <c r="E294" s="4"/>
      <c r="F294" s="145"/>
      <c r="G294" s="48"/>
      <c r="H294" s="44"/>
      <c r="I294" s="48"/>
      <c r="J294" s="48"/>
      <c r="K294" s="3"/>
    </row>
    <row r="295" spans="1:11">
      <c r="A295" s="39"/>
      <c r="B295" s="199"/>
      <c r="C295" s="202"/>
      <c r="D295" s="76"/>
      <c r="E295" s="4"/>
      <c r="F295" s="145"/>
      <c r="G295" s="48"/>
      <c r="H295" s="44"/>
      <c r="I295" s="48"/>
      <c r="J295" s="48"/>
      <c r="K295" s="3"/>
    </row>
    <row r="296" spans="1:11">
      <c r="A296" s="95"/>
      <c r="B296" s="30"/>
      <c r="C296" s="226"/>
      <c r="D296" s="82"/>
      <c r="E296" s="227"/>
      <c r="F296" s="454"/>
      <c r="G296" s="114"/>
      <c r="H296" s="155"/>
      <c r="I296" s="114"/>
      <c r="J296" s="114"/>
      <c r="K296" s="443"/>
    </row>
    <row r="297" spans="1:11">
      <c r="A297" s="229"/>
      <c r="B297" s="230"/>
      <c r="C297" s="231"/>
      <c r="D297" s="496"/>
      <c r="E297" s="232"/>
      <c r="F297" s="455"/>
      <c r="G297" s="234"/>
      <c r="H297" s="235"/>
      <c r="I297" s="236"/>
      <c r="J297" s="237"/>
      <c r="K297" s="449"/>
    </row>
    <row r="298" spans="1:11">
      <c r="A298" s="190"/>
      <c r="B298" s="191"/>
      <c r="C298" s="192"/>
      <c r="D298" s="497"/>
      <c r="E298" s="238"/>
      <c r="F298" s="450"/>
      <c r="G298" s="140"/>
      <c r="H298" s="195"/>
      <c r="I298" s="196"/>
      <c r="J298" s="197"/>
      <c r="K298" s="451"/>
    </row>
    <row r="299" spans="1:11">
      <c r="A299" s="239"/>
      <c r="B299" s="199"/>
      <c r="C299" s="202"/>
      <c r="D299" s="76"/>
      <c r="E299" s="4"/>
      <c r="F299" s="145"/>
      <c r="G299" s="48"/>
      <c r="H299" s="44"/>
      <c r="I299" s="48"/>
      <c r="J299" s="48"/>
      <c r="K299" s="3"/>
    </row>
    <row r="300" spans="1:11">
      <c r="A300" s="239"/>
      <c r="B300" s="199"/>
      <c r="C300" s="202"/>
      <c r="D300" s="76"/>
      <c r="E300" s="4"/>
      <c r="F300" s="145"/>
      <c r="G300" s="48"/>
      <c r="H300" s="44"/>
      <c r="I300" s="48"/>
      <c r="J300" s="48"/>
      <c r="K300" s="3"/>
    </row>
    <row r="301" spans="1:11">
      <c r="A301" s="239"/>
      <c r="B301" s="199"/>
      <c r="C301" s="202"/>
      <c r="D301" s="76"/>
      <c r="E301" s="4"/>
      <c r="F301" s="145"/>
      <c r="G301" s="48"/>
      <c r="H301" s="44"/>
      <c r="I301" s="48"/>
      <c r="J301" s="48"/>
      <c r="K301" s="3"/>
    </row>
    <row r="302" spans="1:11">
      <c r="A302" s="4"/>
      <c r="B302" s="224"/>
      <c r="C302" s="240"/>
      <c r="D302" s="76"/>
      <c r="E302" s="4"/>
      <c r="F302" s="145"/>
      <c r="G302" s="48"/>
      <c r="H302" s="44"/>
      <c r="I302" s="48"/>
      <c r="J302" s="48"/>
      <c r="K302" s="3"/>
    </row>
    <row r="303" spans="1:11">
      <c r="A303" s="4"/>
      <c r="B303" s="224"/>
      <c r="C303" s="240"/>
      <c r="D303" s="353"/>
      <c r="E303" s="4"/>
      <c r="F303" s="145"/>
      <c r="G303" s="48"/>
      <c r="H303" s="44"/>
      <c r="I303" s="48"/>
      <c r="J303" s="48"/>
      <c r="K303" s="3"/>
    </row>
    <row r="304" spans="1:11">
      <c r="A304" s="4"/>
      <c r="B304" s="224"/>
      <c r="C304" s="240"/>
      <c r="D304" s="353"/>
      <c r="E304" s="4"/>
      <c r="F304" s="145"/>
      <c r="G304" s="48"/>
      <c r="H304" s="44"/>
      <c r="I304" s="48"/>
      <c r="J304" s="48"/>
      <c r="K304" s="3"/>
    </row>
    <row r="305" spans="1:11">
      <c r="A305" s="4"/>
      <c r="B305" s="224"/>
      <c r="C305" s="240"/>
      <c r="D305" s="353"/>
      <c r="E305" s="4"/>
      <c r="F305" s="145"/>
      <c r="G305" s="48"/>
      <c r="H305" s="44"/>
      <c r="I305" s="48"/>
      <c r="J305" s="48"/>
      <c r="K305" s="3"/>
    </row>
    <row r="306" spans="1:11">
      <c r="A306" s="4"/>
      <c r="B306" s="224"/>
      <c r="C306" s="240"/>
      <c r="D306" s="353"/>
      <c r="E306" s="4"/>
      <c r="F306" s="145"/>
      <c r="G306" s="48"/>
      <c r="H306" s="44"/>
      <c r="I306" s="48"/>
      <c r="J306" s="48"/>
      <c r="K306" s="3"/>
    </row>
    <row r="307" spans="1:11">
      <c r="A307" s="4"/>
      <c r="B307" s="224"/>
      <c r="C307" s="240"/>
      <c r="D307" s="353"/>
      <c r="E307" s="4"/>
      <c r="F307" s="145"/>
      <c r="G307" s="48"/>
      <c r="H307" s="44"/>
      <c r="I307" s="48"/>
      <c r="J307" s="48"/>
      <c r="K307" s="3"/>
    </row>
    <row r="308" spans="1:11">
      <c r="A308" s="4"/>
      <c r="B308" s="199"/>
      <c r="C308" s="202"/>
      <c r="D308" s="76"/>
      <c r="E308" s="4"/>
      <c r="F308" s="145"/>
      <c r="G308" s="48"/>
      <c r="H308" s="44"/>
      <c r="I308" s="48"/>
      <c r="J308" s="48"/>
      <c r="K308" s="3"/>
    </row>
    <row r="309" spans="1:11">
      <c r="A309" s="4"/>
      <c r="B309" s="224"/>
      <c r="C309" s="240"/>
      <c r="D309" s="353"/>
      <c r="E309" s="4"/>
      <c r="F309" s="145"/>
      <c r="G309" s="48"/>
      <c r="H309" s="44"/>
      <c r="I309" s="48"/>
      <c r="J309" s="48"/>
      <c r="K309" s="3"/>
    </row>
    <row r="310" spans="1:11">
      <c r="A310" s="4"/>
      <c r="B310" s="224"/>
      <c r="C310" s="240"/>
      <c r="D310" s="353"/>
      <c r="E310" s="4"/>
      <c r="F310" s="145"/>
      <c r="G310" s="48"/>
      <c r="H310" s="44"/>
      <c r="I310" s="48"/>
      <c r="J310" s="48"/>
      <c r="K310" s="3"/>
    </row>
    <row r="311" spans="1:11">
      <c r="A311" s="4"/>
      <c r="B311" s="199"/>
      <c r="C311" s="202"/>
      <c r="D311" s="353"/>
      <c r="E311" s="4"/>
      <c r="F311" s="145"/>
      <c r="G311" s="48"/>
      <c r="H311" s="44"/>
      <c r="I311" s="48"/>
      <c r="J311" s="48"/>
      <c r="K311" s="3"/>
    </row>
    <row r="312" spans="1:11">
      <c r="A312" s="4"/>
      <c r="B312" s="199"/>
      <c r="C312" s="202"/>
      <c r="D312" s="353"/>
      <c r="E312" s="4"/>
      <c r="F312" s="145"/>
      <c r="G312" s="48"/>
      <c r="H312" s="44"/>
      <c r="I312" s="48"/>
      <c r="J312" s="48"/>
      <c r="K312" s="3"/>
    </row>
    <row r="313" spans="1:11">
      <c r="A313" s="4"/>
      <c r="B313" s="199"/>
      <c r="C313" s="202"/>
      <c r="D313" s="76"/>
      <c r="E313" s="4"/>
      <c r="F313" s="145"/>
      <c r="G313" s="48"/>
      <c r="H313" s="44"/>
      <c r="I313" s="48"/>
      <c r="J313" s="48"/>
      <c r="K313" s="3"/>
    </row>
    <row r="314" spans="1:11">
      <c r="A314" s="4"/>
      <c r="B314" s="199"/>
      <c r="C314" s="202"/>
      <c r="D314" s="76"/>
      <c r="E314" s="4"/>
      <c r="F314" s="145"/>
      <c r="G314" s="48"/>
      <c r="H314" s="44"/>
      <c r="I314" s="48"/>
      <c r="J314" s="48"/>
      <c r="K314" s="3"/>
    </row>
    <row r="315" spans="1:11">
      <c r="A315" s="4"/>
      <c r="B315" s="199"/>
      <c r="C315" s="202"/>
      <c r="D315" s="353"/>
      <c r="E315" s="4"/>
      <c r="F315" s="145"/>
      <c r="G315" s="48"/>
      <c r="H315" s="44"/>
      <c r="I315" s="48"/>
      <c r="J315" s="48"/>
      <c r="K315" s="3"/>
    </row>
    <row r="316" spans="1:11">
      <c r="A316" s="4"/>
      <c r="B316" s="199"/>
      <c r="C316" s="202"/>
      <c r="D316" s="353"/>
      <c r="E316" s="4"/>
      <c r="F316" s="145"/>
      <c r="G316" s="48"/>
      <c r="H316" s="44"/>
      <c r="I316" s="48"/>
      <c r="J316" s="48"/>
      <c r="K316" s="3"/>
    </row>
    <row r="317" spans="1:11">
      <c r="A317" s="4"/>
      <c r="B317" s="199"/>
      <c r="C317" s="202"/>
      <c r="D317" s="353"/>
      <c r="E317" s="4"/>
      <c r="F317" s="145"/>
      <c r="G317" s="48"/>
      <c r="H317" s="44"/>
      <c r="I317" s="48"/>
      <c r="J317" s="48"/>
      <c r="K317" s="3"/>
    </row>
    <row r="318" spans="1:11">
      <c r="A318" s="4"/>
      <c r="B318" s="203"/>
      <c r="C318" s="202"/>
      <c r="D318" s="76"/>
      <c r="E318" s="4"/>
      <c r="F318" s="145"/>
      <c r="G318" s="48"/>
      <c r="H318" s="44"/>
      <c r="I318" s="48"/>
      <c r="J318" s="48"/>
      <c r="K318" s="3"/>
    </row>
    <row r="319" spans="1:11">
      <c r="A319" s="241"/>
      <c r="B319" s="242"/>
      <c r="C319" s="243"/>
      <c r="D319" s="498"/>
      <c r="E319" s="258"/>
      <c r="F319" s="452"/>
      <c r="G319" s="210"/>
      <c r="H319" s="211"/>
      <c r="I319" s="212"/>
      <c r="J319" s="213"/>
      <c r="K319" s="453"/>
    </row>
    <row r="320" spans="1:11">
      <c r="A320" s="229"/>
      <c r="B320" s="215"/>
      <c r="C320" s="216"/>
      <c r="D320" s="117"/>
      <c r="E320" s="35"/>
      <c r="F320" s="414"/>
      <c r="G320" s="92"/>
      <c r="H320" s="90"/>
      <c r="I320" s="245"/>
      <c r="J320" s="117"/>
      <c r="K320" s="449"/>
    </row>
    <row r="321" spans="1:11">
      <c r="A321" s="190"/>
      <c r="B321" s="191"/>
      <c r="C321" s="246"/>
      <c r="D321" s="472"/>
      <c r="E321" s="268"/>
      <c r="F321" s="450"/>
      <c r="G321" s="140"/>
      <c r="H321" s="195"/>
      <c r="I321" s="196"/>
      <c r="J321" s="197"/>
      <c r="K321" s="451"/>
    </row>
    <row r="322" spans="1:11">
      <c r="A322" s="4"/>
      <c r="B322" s="199"/>
      <c r="C322" s="248"/>
      <c r="D322" s="353"/>
      <c r="E322" s="4"/>
      <c r="F322" s="145"/>
      <c r="G322" s="48"/>
      <c r="H322" s="44"/>
      <c r="I322" s="48"/>
      <c r="J322" s="48"/>
      <c r="K322" s="3"/>
    </row>
    <row r="323" spans="1:11">
      <c r="A323" s="4"/>
      <c r="B323" s="199"/>
      <c r="C323" s="248"/>
      <c r="D323" s="353"/>
      <c r="E323" s="4"/>
      <c r="F323" s="69"/>
      <c r="G323" s="48"/>
      <c r="H323" s="44"/>
      <c r="I323" s="48"/>
      <c r="J323" s="48"/>
      <c r="K323" s="3"/>
    </row>
    <row r="324" spans="1:11">
      <c r="A324" s="4"/>
      <c r="B324" s="199"/>
      <c r="C324" s="248"/>
      <c r="D324" s="353"/>
      <c r="E324" s="4"/>
      <c r="F324" s="69"/>
      <c r="G324" s="48"/>
      <c r="H324" s="44"/>
      <c r="I324" s="48"/>
      <c r="J324" s="48"/>
      <c r="K324" s="3"/>
    </row>
    <row r="325" spans="1:11">
      <c r="A325" s="4"/>
      <c r="B325" s="199"/>
      <c r="C325" s="248"/>
      <c r="D325" s="353"/>
      <c r="E325" s="4"/>
      <c r="F325" s="69"/>
      <c r="G325" s="48"/>
      <c r="H325" s="44"/>
      <c r="I325" s="48"/>
      <c r="J325" s="48"/>
      <c r="K325" s="3"/>
    </row>
    <row r="326" spans="1:11">
      <c r="A326" s="4"/>
      <c r="B326" s="199"/>
      <c r="C326" s="249"/>
      <c r="D326" s="76"/>
      <c r="E326" s="4"/>
      <c r="F326" s="145"/>
      <c r="G326" s="48"/>
      <c r="H326" s="72"/>
      <c r="I326" s="48"/>
      <c r="J326" s="48"/>
      <c r="K326" s="3"/>
    </row>
    <row r="327" spans="1:11">
      <c r="A327" s="4"/>
      <c r="B327" s="199"/>
      <c r="C327" s="249"/>
      <c r="D327" s="353"/>
      <c r="E327" s="4"/>
      <c r="F327" s="69"/>
      <c r="G327" s="48"/>
      <c r="H327" s="44"/>
      <c r="I327" s="48"/>
      <c r="J327" s="48"/>
      <c r="K327" s="3"/>
    </row>
    <row r="328" spans="1:11">
      <c r="A328" s="4"/>
      <c r="B328" s="199"/>
      <c r="C328" s="250"/>
      <c r="D328" s="353"/>
      <c r="E328" s="4"/>
      <c r="F328" s="69"/>
      <c r="G328" s="48"/>
      <c r="H328" s="44"/>
      <c r="I328" s="48"/>
      <c r="J328" s="48"/>
      <c r="K328" s="3"/>
    </row>
    <row r="329" spans="1:11">
      <c r="A329" s="4"/>
      <c r="B329" s="199"/>
      <c r="C329" s="250"/>
      <c r="D329" s="76"/>
      <c r="E329" s="4"/>
      <c r="F329" s="145"/>
      <c r="G329" s="48"/>
      <c r="H329" s="72"/>
      <c r="I329" s="48"/>
      <c r="J329" s="48"/>
      <c r="K329" s="3"/>
    </row>
    <row r="330" spans="1:11">
      <c r="A330" s="4"/>
      <c r="B330" s="199"/>
      <c r="C330" s="250"/>
      <c r="D330" s="76"/>
      <c r="E330" s="4"/>
      <c r="F330" s="145"/>
      <c r="G330" s="48"/>
      <c r="H330" s="72"/>
      <c r="I330" s="48"/>
      <c r="J330" s="48"/>
      <c r="K330" s="3"/>
    </row>
    <row r="331" spans="1:11">
      <c r="A331" s="4"/>
      <c r="B331" s="199"/>
      <c r="C331" s="250"/>
      <c r="D331" s="76"/>
      <c r="E331" s="4"/>
      <c r="F331" s="145"/>
      <c r="G331" s="48"/>
      <c r="H331" s="72"/>
      <c r="I331" s="48"/>
      <c r="J331" s="48"/>
      <c r="K331" s="3"/>
    </row>
    <row r="332" spans="1:11">
      <c r="A332" s="4"/>
      <c r="B332" s="199"/>
      <c r="C332" s="250"/>
      <c r="D332" s="353"/>
      <c r="E332" s="4"/>
      <c r="F332" s="145"/>
      <c r="G332" s="48"/>
      <c r="H332" s="44"/>
      <c r="I332" s="48"/>
      <c r="J332" s="48"/>
      <c r="K332" s="3"/>
    </row>
    <row r="333" spans="1:11">
      <c r="A333" s="4"/>
      <c r="B333" s="199"/>
      <c r="C333" s="250"/>
      <c r="D333" s="353"/>
      <c r="E333" s="4"/>
      <c r="F333" s="145"/>
      <c r="G333" s="48"/>
      <c r="H333" s="44"/>
      <c r="I333" s="48"/>
      <c r="J333" s="48"/>
      <c r="K333" s="3"/>
    </row>
    <row r="334" spans="1:11">
      <c r="A334" s="4"/>
      <c r="B334" s="199"/>
      <c r="C334" s="250"/>
      <c r="D334" s="353"/>
      <c r="E334" s="4"/>
      <c r="F334" s="76"/>
      <c r="G334" s="48"/>
      <c r="H334" s="44"/>
      <c r="I334" s="48"/>
      <c r="J334" s="48"/>
      <c r="K334" s="3"/>
    </row>
    <row r="335" spans="1:11">
      <c r="A335" s="4"/>
      <c r="B335" s="199"/>
      <c r="C335" s="250"/>
      <c r="D335" s="353"/>
      <c r="E335" s="4"/>
      <c r="F335" s="145"/>
      <c r="G335" s="48"/>
      <c r="H335" s="44"/>
      <c r="I335" s="48"/>
      <c r="J335" s="48"/>
      <c r="K335" s="3"/>
    </row>
    <row r="336" spans="1:11">
      <c r="A336" s="4"/>
      <c r="B336" s="199"/>
      <c r="C336" s="250"/>
      <c r="D336" s="353"/>
      <c r="E336" s="4"/>
      <c r="F336" s="145"/>
      <c r="G336" s="48"/>
      <c r="H336" s="72"/>
      <c r="I336" s="48"/>
      <c r="J336" s="48"/>
      <c r="K336" s="3"/>
    </row>
    <row r="337" spans="1:11">
      <c r="A337" s="4"/>
      <c r="B337" s="199"/>
      <c r="C337" s="250"/>
      <c r="D337" s="353"/>
      <c r="E337" s="4"/>
      <c r="F337" s="145"/>
      <c r="G337" s="48"/>
      <c r="H337" s="72"/>
      <c r="I337" s="48"/>
      <c r="J337" s="48"/>
      <c r="K337" s="3"/>
    </row>
    <row r="338" spans="1:11">
      <c r="A338" s="4"/>
      <c r="B338" s="199"/>
      <c r="C338" s="250"/>
      <c r="D338" s="353"/>
      <c r="E338" s="4"/>
      <c r="F338" s="145"/>
      <c r="G338" s="48"/>
      <c r="H338" s="72"/>
      <c r="I338" s="48"/>
      <c r="J338" s="48"/>
      <c r="K338" s="3"/>
    </row>
    <row r="339" spans="1:11">
      <c r="A339" s="4"/>
      <c r="B339" s="199"/>
      <c r="C339" s="250"/>
      <c r="D339" s="353"/>
      <c r="E339" s="4"/>
      <c r="F339" s="145"/>
      <c r="G339" s="48"/>
      <c r="H339" s="72"/>
      <c r="I339" s="48"/>
      <c r="J339" s="48"/>
      <c r="K339" s="3"/>
    </row>
    <row r="340" spans="1:11">
      <c r="A340" s="4"/>
      <c r="B340" s="199"/>
      <c r="C340" s="250"/>
      <c r="D340" s="76"/>
      <c r="E340" s="4"/>
      <c r="F340" s="145"/>
      <c r="G340" s="48"/>
      <c r="H340" s="72"/>
      <c r="I340" s="48"/>
      <c r="J340" s="48"/>
      <c r="K340" s="3"/>
    </row>
    <row r="341" spans="1:11">
      <c r="A341" s="4"/>
      <c r="B341" s="199"/>
      <c r="C341" s="250"/>
      <c r="D341" s="76"/>
      <c r="E341" s="4"/>
      <c r="F341" s="145"/>
      <c r="G341" s="48"/>
      <c r="H341" s="72"/>
      <c r="I341" s="48"/>
      <c r="J341" s="48"/>
      <c r="K341" s="3"/>
    </row>
    <row r="342" spans="1:11">
      <c r="A342" s="4"/>
      <c r="B342" s="199"/>
      <c r="C342" s="250"/>
      <c r="D342" s="76"/>
      <c r="E342" s="4"/>
      <c r="F342" s="145"/>
      <c r="G342" s="48"/>
      <c r="H342" s="72"/>
      <c r="I342" s="48"/>
      <c r="J342" s="48"/>
      <c r="K342" s="3"/>
    </row>
    <row r="343" spans="1:11">
      <c r="A343" s="4"/>
      <c r="B343" s="199"/>
      <c r="C343" s="250"/>
      <c r="D343" s="76"/>
      <c r="E343" s="4"/>
      <c r="F343" s="145"/>
      <c r="G343" s="48"/>
      <c r="H343" s="72"/>
      <c r="I343" s="48"/>
      <c r="J343" s="48"/>
      <c r="K343" s="3"/>
    </row>
    <row r="344" spans="1:11">
      <c r="A344" s="4"/>
      <c r="B344" s="199"/>
      <c r="C344" s="250"/>
      <c r="D344" s="76"/>
      <c r="E344" s="4"/>
      <c r="F344" s="145"/>
      <c r="G344" s="48"/>
      <c r="H344" s="72"/>
      <c r="I344" s="48"/>
      <c r="J344" s="48"/>
      <c r="K344" s="3"/>
    </row>
    <row r="345" spans="1:11">
      <c r="A345" s="4"/>
      <c r="B345" s="199"/>
      <c r="C345" s="250"/>
      <c r="D345" s="76"/>
      <c r="E345" s="4"/>
      <c r="F345" s="145"/>
      <c r="G345" s="48"/>
      <c r="H345" s="72"/>
      <c r="I345" s="48"/>
      <c r="J345" s="48"/>
      <c r="K345" s="3"/>
    </row>
    <row r="346" spans="1:11">
      <c r="A346" s="4"/>
      <c r="B346" s="199"/>
      <c r="C346" s="250"/>
      <c r="D346" s="76"/>
      <c r="E346" s="4"/>
      <c r="F346" s="145"/>
      <c r="G346" s="48"/>
      <c r="H346" s="72"/>
      <c r="I346" s="48"/>
      <c r="J346" s="48"/>
      <c r="K346" s="3"/>
    </row>
    <row r="347" spans="1:11">
      <c r="A347" s="241"/>
      <c r="B347" s="242"/>
      <c r="C347" s="207"/>
      <c r="D347" s="495"/>
      <c r="E347" s="208"/>
      <c r="F347" s="452"/>
      <c r="G347" s="210"/>
      <c r="H347" s="211"/>
      <c r="I347" s="212"/>
      <c r="J347" s="251"/>
      <c r="K347" s="453"/>
    </row>
    <row r="348" spans="1:11">
      <c r="A348" s="229"/>
      <c r="B348" s="230"/>
      <c r="C348" s="252"/>
      <c r="D348" s="496"/>
      <c r="E348" s="232"/>
      <c r="F348" s="455"/>
      <c r="G348" s="234"/>
      <c r="H348" s="235"/>
      <c r="I348" s="236"/>
      <c r="J348" s="237"/>
      <c r="K348" s="449"/>
    </row>
    <row r="349" spans="1:11" s="242" customFormat="1">
      <c r="A349" s="253"/>
      <c r="B349" s="254"/>
      <c r="C349" s="200"/>
      <c r="D349" s="499"/>
      <c r="E349" s="255"/>
      <c r="F349" s="145"/>
      <c r="G349" s="149"/>
      <c r="H349" s="72"/>
      <c r="I349" s="196"/>
      <c r="J349" s="197"/>
      <c r="K349" s="451"/>
    </row>
    <row r="350" spans="1:11">
      <c r="A350" s="41"/>
      <c r="B350" s="199"/>
      <c r="C350" s="201"/>
      <c r="D350" s="353"/>
      <c r="E350" s="4"/>
      <c r="F350" s="145"/>
      <c r="G350" s="48"/>
      <c r="H350" s="72"/>
      <c r="I350" s="48"/>
      <c r="J350" s="48"/>
      <c r="K350" s="3"/>
    </row>
    <row r="351" spans="1:11">
      <c r="A351" s="39"/>
      <c r="B351" s="199"/>
      <c r="C351" s="201"/>
      <c r="D351" s="353"/>
      <c r="E351" s="4"/>
      <c r="F351" s="145"/>
      <c r="G351" s="48"/>
      <c r="H351" s="72"/>
      <c r="I351" s="48"/>
      <c r="J351" s="48"/>
      <c r="K351" s="3"/>
    </row>
    <row r="352" spans="1:11">
      <c r="A352" s="39"/>
      <c r="B352" s="199"/>
      <c r="C352" s="201"/>
      <c r="D352" s="353"/>
      <c r="E352" s="4"/>
      <c r="F352" s="145"/>
      <c r="G352" s="48"/>
      <c r="H352" s="64"/>
      <c r="I352" s="48"/>
      <c r="J352" s="48"/>
      <c r="K352" s="3"/>
    </row>
    <row r="353" spans="1:11">
      <c r="A353" s="39"/>
      <c r="B353" s="199"/>
      <c r="C353" s="201"/>
      <c r="D353" s="500"/>
      <c r="E353" s="4"/>
      <c r="F353" s="145"/>
      <c r="G353" s="48"/>
      <c r="H353" s="72"/>
      <c r="I353" s="48"/>
      <c r="J353" s="48"/>
      <c r="K353" s="3"/>
    </row>
    <row r="354" spans="1:11">
      <c r="A354" s="39"/>
      <c r="B354" s="199"/>
      <c r="C354" s="201"/>
      <c r="D354" s="500"/>
      <c r="E354" s="4"/>
      <c r="F354" s="145"/>
      <c r="G354" s="48"/>
      <c r="H354" s="72"/>
      <c r="I354" s="48"/>
      <c r="J354" s="48"/>
      <c r="K354" s="3"/>
    </row>
    <row r="355" spans="1:11">
      <c r="A355" s="39"/>
      <c r="B355" s="199"/>
      <c r="C355" s="201"/>
      <c r="D355" s="500"/>
      <c r="E355" s="4"/>
      <c r="F355" s="145"/>
      <c r="G355" s="48"/>
      <c r="H355" s="72"/>
      <c r="I355" s="48"/>
      <c r="J355" s="48"/>
      <c r="K355" s="3"/>
    </row>
    <row r="356" spans="1:11">
      <c r="A356" s="39"/>
      <c r="B356" s="199"/>
      <c r="C356" s="201"/>
      <c r="D356" s="500"/>
      <c r="E356" s="4"/>
      <c r="F356" s="145"/>
      <c r="G356" s="48"/>
      <c r="H356" s="72"/>
      <c r="I356" s="48"/>
      <c r="J356" s="48"/>
      <c r="K356" s="3"/>
    </row>
    <row r="357" spans="1:11">
      <c r="A357" s="39"/>
      <c r="B357" s="199"/>
      <c r="C357" s="201"/>
      <c r="D357" s="500"/>
      <c r="E357" s="4"/>
      <c r="F357" s="145"/>
      <c r="G357" s="48"/>
      <c r="H357" s="72"/>
      <c r="I357" s="48"/>
      <c r="J357" s="48"/>
      <c r="K357" s="3"/>
    </row>
    <row r="358" spans="1:11">
      <c r="A358" s="39"/>
      <c r="B358" s="199"/>
      <c r="C358" s="201"/>
      <c r="D358" s="500"/>
      <c r="E358" s="4"/>
      <c r="F358" s="145"/>
      <c r="G358" s="48"/>
      <c r="H358" s="72"/>
      <c r="I358" s="48"/>
      <c r="J358" s="48"/>
      <c r="K358" s="3"/>
    </row>
    <row r="359" spans="1:11">
      <c r="A359" s="39"/>
      <c r="B359" s="199"/>
      <c r="C359" s="202"/>
      <c r="D359" s="500"/>
      <c r="E359" s="4"/>
      <c r="F359" s="69"/>
      <c r="G359" s="48"/>
      <c r="H359" s="44"/>
      <c r="I359" s="48"/>
      <c r="J359" s="48"/>
      <c r="K359" s="3"/>
    </row>
    <row r="360" spans="1:11">
      <c r="A360" s="39"/>
      <c r="B360" s="199"/>
      <c r="C360" s="202"/>
      <c r="D360" s="353"/>
      <c r="E360" s="4"/>
      <c r="F360" s="145"/>
      <c r="G360" s="48"/>
      <c r="H360" s="44"/>
      <c r="I360" s="48"/>
      <c r="J360" s="48"/>
      <c r="K360" s="3"/>
    </row>
    <row r="361" spans="1:11">
      <c r="A361" s="39"/>
      <c r="B361" s="199"/>
      <c r="C361" s="202"/>
      <c r="D361" s="500"/>
      <c r="E361" s="4"/>
      <c r="F361" s="145"/>
      <c r="G361" s="48"/>
      <c r="H361" s="72"/>
      <c r="I361" s="48"/>
      <c r="J361" s="48"/>
      <c r="K361" s="3"/>
    </row>
    <row r="362" spans="1:11">
      <c r="A362" s="39"/>
      <c r="B362" s="199"/>
      <c r="C362" s="202"/>
      <c r="D362" s="500"/>
      <c r="E362" s="4"/>
      <c r="F362" s="69"/>
      <c r="G362" s="48"/>
      <c r="H362" s="44"/>
      <c r="I362" s="48"/>
      <c r="J362" s="48"/>
      <c r="K362" s="3"/>
    </row>
    <row r="363" spans="1:11">
      <c r="A363" s="39"/>
      <c r="B363" s="147"/>
      <c r="C363" s="202"/>
      <c r="D363" s="500"/>
      <c r="E363" s="4"/>
      <c r="F363" s="145"/>
      <c r="G363" s="48"/>
      <c r="H363" s="72"/>
      <c r="I363" s="48"/>
      <c r="J363" s="48"/>
      <c r="K363" s="3"/>
    </row>
    <row r="364" spans="1:11">
      <c r="A364" s="39"/>
      <c r="B364" s="147"/>
      <c r="C364" s="202"/>
      <c r="D364" s="353"/>
      <c r="E364" s="4"/>
      <c r="F364" s="145"/>
      <c r="G364" s="48"/>
      <c r="H364" s="72"/>
      <c r="I364" s="48"/>
      <c r="J364" s="48"/>
      <c r="K364" s="3"/>
    </row>
    <row r="365" spans="1:11">
      <c r="A365" s="39"/>
      <c r="B365" s="147"/>
      <c r="C365" s="202"/>
      <c r="D365" s="500"/>
      <c r="E365" s="4"/>
      <c r="F365" s="145"/>
      <c r="G365" s="48"/>
      <c r="H365" s="44"/>
      <c r="I365" s="48"/>
      <c r="J365" s="48"/>
      <c r="K365" s="3"/>
    </row>
    <row r="366" spans="1:11">
      <c r="A366" s="39"/>
      <c r="B366" s="147"/>
      <c r="C366" s="202"/>
      <c r="D366" s="353"/>
      <c r="E366" s="4"/>
      <c r="F366" s="145"/>
      <c r="G366" s="48"/>
      <c r="H366" s="44"/>
      <c r="I366" s="48"/>
      <c r="J366" s="48"/>
      <c r="K366" s="3"/>
    </row>
    <row r="367" spans="1:11">
      <c r="A367" s="39"/>
      <c r="B367" s="147"/>
      <c r="C367" s="202"/>
      <c r="D367" s="353"/>
      <c r="E367" s="4"/>
      <c r="F367" s="145"/>
      <c r="G367" s="48"/>
      <c r="H367" s="44"/>
      <c r="I367" s="48"/>
      <c r="J367" s="48"/>
      <c r="K367" s="3"/>
    </row>
    <row r="368" spans="1:11">
      <c r="A368" s="39"/>
      <c r="B368" s="199"/>
      <c r="C368" s="202"/>
      <c r="D368" s="353"/>
      <c r="E368" s="4"/>
      <c r="F368" s="145"/>
      <c r="G368" s="48"/>
      <c r="H368" s="72"/>
      <c r="I368" s="48"/>
      <c r="J368" s="48"/>
      <c r="K368" s="3"/>
    </row>
    <row r="369" spans="1:11">
      <c r="A369" s="39"/>
      <c r="B369" s="147"/>
      <c r="C369" s="202"/>
      <c r="D369" s="500"/>
      <c r="E369" s="4"/>
      <c r="F369" s="145"/>
      <c r="G369" s="48"/>
      <c r="H369" s="72"/>
      <c r="I369" s="48"/>
      <c r="J369" s="48"/>
      <c r="K369" s="3"/>
    </row>
    <row r="370" spans="1:11">
      <c r="A370" s="258"/>
      <c r="B370" s="147"/>
      <c r="C370" s="243"/>
      <c r="D370" s="501"/>
      <c r="E370" s="4"/>
      <c r="F370" s="452"/>
      <c r="G370" s="48"/>
      <c r="H370" s="211"/>
      <c r="I370" s="48"/>
      <c r="J370" s="48"/>
      <c r="K370" s="453"/>
    </row>
    <row r="371" spans="1:11">
      <c r="A371" s="258"/>
      <c r="B371" s="147"/>
      <c r="C371" s="243"/>
      <c r="D371" s="501"/>
      <c r="E371" s="4"/>
      <c r="F371" s="452"/>
      <c r="G371" s="48"/>
      <c r="H371" s="211"/>
      <c r="I371" s="48"/>
      <c r="J371" s="48"/>
      <c r="K371" s="453"/>
    </row>
    <row r="372" spans="1:11">
      <c r="A372" s="39"/>
      <c r="B372" s="199"/>
      <c r="C372" s="250"/>
      <c r="D372" s="76"/>
      <c r="E372" s="4"/>
      <c r="F372" s="69"/>
      <c r="G372" s="48"/>
      <c r="H372" s="44"/>
      <c r="I372" s="48"/>
      <c r="J372" s="48"/>
      <c r="K372" s="3"/>
    </row>
    <row r="373" spans="1:11">
      <c r="A373" s="95"/>
      <c r="B373" s="30"/>
      <c r="C373" s="261"/>
      <c r="D373" s="502"/>
      <c r="E373" s="262"/>
      <c r="F373" s="347"/>
      <c r="G373" s="114"/>
      <c r="H373" s="155"/>
      <c r="I373" s="114"/>
      <c r="J373" s="99"/>
      <c r="K373" s="443"/>
    </row>
    <row r="374" spans="1:11">
      <c r="A374" s="115"/>
      <c r="B374" s="215"/>
      <c r="C374" s="216"/>
      <c r="D374" s="117"/>
      <c r="E374" s="35"/>
      <c r="F374" s="414"/>
      <c r="G374" s="92"/>
      <c r="H374" s="90"/>
      <c r="I374" s="245"/>
      <c r="J374" s="117"/>
      <c r="K374" s="449"/>
    </row>
    <row r="375" spans="1:11">
      <c r="A375" s="115"/>
      <c r="B375" s="35"/>
      <c r="C375" s="264"/>
      <c r="D375" s="414"/>
      <c r="E375" s="115"/>
      <c r="F375" s="455"/>
      <c r="G375" s="187"/>
      <c r="H375" s="235"/>
      <c r="I375" s="265"/>
      <c r="J375" s="237"/>
      <c r="K375" s="217"/>
    </row>
    <row r="376" spans="1:11" ht="21" customHeight="1">
      <c r="A376" s="51"/>
      <c r="B376" s="184"/>
      <c r="C376" s="185"/>
      <c r="D376" s="117"/>
      <c r="E376" s="51"/>
      <c r="F376" s="322"/>
      <c r="G376" s="187"/>
      <c r="H376" s="188"/>
      <c r="I376" s="180"/>
      <c r="J376" s="94"/>
      <c r="K376" s="449"/>
    </row>
    <row r="377" spans="1:11">
      <c r="A377" s="238"/>
      <c r="B377" s="266"/>
      <c r="C377" s="267"/>
      <c r="D377" s="472"/>
      <c r="E377" s="268"/>
      <c r="F377" s="302"/>
      <c r="G377" s="140"/>
      <c r="H377" s="270"/>
      <c r="I377" s="196"/>
      <c r="J377" s="271"/>
      <c r="K377" s="456"/>
    </row>
    <row r="378" spans="1:11">
      <c r="A378" s="39"/>
      <c r="B378" s="127"/>
      <c r="C378" s="273"/>
      <c r="D378" s="503"/>
      <c r="E378" s="39"/>
      <c r="F378" s="69"/>
      <c r="G378" s="149"/>
      <c r="H378" s="44"/>
      <c r="I378" s="146"/>
      <c r="J378" s="275"/>
      <c r="K378" s="419"/>
    </row>
    <row r="379" spans="1:11">
      <c r="A379" s="39"/>
      <c r="B379" s="127"/>
      <c r="C379" s="107"/>
      <c r="D379" s="353"/>
      <c r="E379" s="39"/>
      <c r="F379" s="69"/>
      <c r="G379" s="149"/>
      <c r="H379" s="44"/>
      <c r="I379" s="146"/>
      <c r="J379" s="275"/>
      <c r="K379" s="419"/>
    </row>
    <row r="380" spans="1:11">
      <c r="A380" s="41"/>
      <c r="B380" s="278"/>
      <c r="C380" s="278"/>
      <c r="D380" s="504"/>
      <c r="E380" s="41"/>
      <c r="F380" s="311"/>
      <c r="G380" s="149"/>
      <c r="H380" s="281"/>
      <c r="I380" s="146"/>
      <c r="J380" s="275"/>
      <c r="K380" s="419"/>
    </row>
    <row r="381" spans="1:11">
      <c r="A381" s="39"/>
      <c r="B381" s="107"/>
      <c r="C381" s="273"/>
      <c r="D381" s="353"/>
      <c r="E381" s="39"/>
      <c r="F381" s="69"/>
      <c r="G381" s="149"/>
      <c r="H381" s="44"/>
      <c r="I381" s="146"/>
      <c r="J381" s="275"/>
      <c r="K381" s="344"/>
    </row>
    <row r="382" spans="1:11">
      <c r="A382" s="39"/>
      <c r="B382" s="127"/>
      <c r="C382" s="107"/>
      <c r="D382" s="353"/>
      <c r="E382" s="39"/>
      <c r="F382" s="69"/>
      <c r="G382" s="149"/>
      <c r="H382" s="44"/>
      <c r="I382" s="146"/>
      <c r="J382" s="275"/>
      <c r="K382" s="344"/>
    </row>
    <row r="383" spans="1:11">
      <c r="A383" s="39"/>
      <c r="B383" s="107"/>
      <c r="C383" s="273"/>
      <c r="D383" s="353"/>
      <c r="E383" s="39"/>
      <c r="F383" s="69"/>
      <c r="G383" s="149"/>
      <c r="H383" s="44"/>
      <c r="I383" s="146"/>
      <c r="J383" s="275"/>
      <c r="K383" s="344"/>
    </row>
    <row r="384" spans="1:11">
      <c r="A384" s="39"/>
      <c r="B384" s="107"/>
      <c r="C384" s="273"/>
      <c r="D384" s="353"/>
      <c r="E384" s="39"/>
      <c r="F384" s="69"/>
      <c r="G384" s="149"/>
      <c r="H384" s="44"/>
      <c r="I384" s="146"/>
      <c r="J384" s="275"/>
      <c r="K384" s="344"/>
    </row>
    <row r="385" spans="1:11">
      <c r="A385" s="39"/>
      <c r="B385" s="107"/>
      <c r="C385" s="107"/>
      <c r="D385" s="353"/>
      <c r="E385" s="39"/>
      <c r="F385" s="69"/>
      <c r="G385" s="149"/>
      <c r="H385" s="44"/>
      <c r="I385" s="146"/>
      <c r="J385" s="275"/>
      <c r="K385" s="344"/>
    </row>
    <row r="386" spans="1:11">
      <c r="A386" s="41"/>
      <c r="B386" s="278"/>
      <c r="C386" s="107"/>
      <c r="D386" s="353"/>
      <c r="E386" s="39"/>
      <c r="F386" s="69"/>
      <c r="G386" s="149"/>
      <c r="H386" s="44"/>
      <c r="I386" s="146"/>
      <c r="J386" s="275"/>
      <c r="K386" s="344"/>
    </row>
    <row r="387" spans="1:11">
      <c r="A387" s="39"/>
      <c r="B387" s="127"/>
      <c r="C387" s="273"/>
      <c r="D387" s="353"/>
      <c r="E387" s="39"/>
      <c r="F387" s="69"/>
      <c r="G387" s="149"/>
      <c r="H387" s="44"/>
      <c r="I387" s="146"/>
      <c r="J387" s="275"/>
      <c r="K387" s="344"/>
    </row>
    <row r="388" spans="1:11">
      <c r="A388" s="41"/>
      <c r="B388" s="278"/>
      <c r="C388" s="107"/>
      <c r="D388" s="353"/>
      <c r="E388" s="39"/>
      <c r="F388" s="69"/>
      <c r="G388" s="149"/>
      <c r="H388" s="44"/>
      <c r="I388" s="146"/>
      <c r="J388" s="275"/>
      <c r="K388" s="344"/>
    </row>
    <row r="389" spans="1:11">
      <c r="A389" s="41"/>
      <c r="B389" s="278"/>
      <c r="C389" s="107"/>
      <c r="D389" s="353"/>
      <c r="E389" s="39"/>
      <c r="F389" s="69"/>
      <c r="G389" s="149"/>
      <c r="H389" s="44"/>
      <c r="I389" s="146"/>
      <c r="J389" s="275"/>
      <c r="K389" s="344"/>
    </row>
    <row r="390" spans="1:11">
      <c r="A390" s="283"/>
      <c r="B390" s="284"/>
      <c r="C390" s="96"/>
      <c r="D390" s="417"/>
      <c r="E390" s="95"/>
      <c r="F390" s="347"/>
      <c r="G390" s="153"/>
      <c r="H390" s="155"/>
      <c r="I390" s="156"/>
      <c r="J390" s="286"/>
      <c r="K390" s="433"/>
    </row>
    <row r="391" spans="1:11">
      <c r="A391" s="115"/>
      <c r="B391" s="35"/>
      <c r="C391" s="35"/>
      <c r="D391" s="117"/>
      <c r="E391" s="51"/>
      <c r="F391" s="52"/>
      <c r="G391" s="180"/>
      <c r="H391" s="289"/>
      <c r="I391" s="180"/>
      <c r="J391" s="180"/>
      <c r="K391" s="217"/>
    </row>
  </sheetData>
  <mergeCells count="11">
    <mergeCell ref="D4:F4"/>
    <mergeCell ref="J3:K3"/>
    <mergeCell ref="A5:A6"/>
    <mergeCell ref="B5:B6"/>
    <mergeCell ref="C5:C6"/>
    <mergeCell ref="D5:D6"/>
    <mergeCell ref="E5:E6"/>
    <mergeCell ref="F5:G5"/>
    <mergeCell ref="H5:I5"/>
    <mergeCell ref="J5:J6"/>
    <mergeCell ref="K5:K6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63" fitToHeight="0" orientation="portrait" r:id="rId1"/>
  <headerFooter alignWithMargins="0">
    <oddFooter>&amp;R&amp;"Browallia New,ธรรมดา"&amp;11แผ่นที่ &amp;P รวม &amp;N</oddFooter>
  </headerFooter>
  <rowBreaks count="2" manualBreakCount="2">
    <brk id="210" max="10" man="1"/>
    <brk id="235" max="1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66"/>
  <sheetViews>
    <sheetView showGridLines="0" showZeros="0" tabSelected="1" view="pageBreakPreview" topLeftCell="A17" zoomScaleSheetLayoutView="100" workbookViewId="0">
      <selection activeCell="H37" sqref="H37"/>
    </sheetView>
  </sheetViews>
  <sheetFormatPr defaultRowHeight="24"/>
  <cols>
    <col min="1" max="1" width="5.625" style="290" customWidth="1"/>
    <col min="2" max="2" width="50.625" style="291" customWidth="1"/>
    <col min="3" max="3" width="6.875" style="290" hidden="1" customWidth="1"/>
    <col min="4" max="4" width="10.625" style="579" customWidth="1"/>
    <col min="5" max="5" width="6.5" style="580" customWidth="1"/>
    <col min="6" max="6" width="12" style="581" customWidth="1"/>
    <col min="7" max="8" width="12" style="294" customWidth="1"/>
    <col min="9" max="9" width="12" style="581" customWidth="1"/>
    <col min="10" max="10" width="12" style="294" customWidth="1"/>
    <col min="11" max="11" width="11.25" style="290" customWidth="1"/>
    <col min="12" max="12" width="10.375" style="30" bestFit="1" customWidth="1"/>
    <col min="13" max="13" width="26.75" style="30" customWidth="1"/>
    <col min="14" max="16384" width="9" style="30"/>
  </cols>
  <sheetData>
    <row r="1" spans="1:18" s="15" customFormat="1">
      <c r="A1" s="7" t="s">
        <v>439</v>
      </c>
      <c r="B1" s="8"/>
      <c r="C1" s="9"/>
      <c r="D1" s="506"/>
      <c r="E1" s="507"/>
      <c r="F1" s="508"/>
      <c r="G1" s="509"/>
      <c r="H1" s="509"/>
      <c r="I1" s="508"/>
      <c r="J1" s="510"/>
      <c r="K1" s="13"/>
    </row>
    <row r="2" spans="1:18" s="15" customFormat="1">
      <c r="A2" s="7" t="s">
        <v>454</v>
      </c>
      <c r="B2" s="16"/>
      <c r="C2" s="17"/>
      <c r="D2" s="511"/>
      <c r="E2" s="507" t="s">
        <v>23</v>
      </c>
      <c r="F2" s="508"/>
      <c r="G2" s="509"/>
      <c r="H2" s="509"/>
      <c r="I2" s="512"/>
      <c r="J2" s="513"/>
      <c r="K2" s="21"/>
    </row>
    <row r="3" spans="1:18" s="15" customFormat="1" ht="19.5" customHeight="1">
      <c r="A3" s="7" t="s">
        <v>431</v>
      </c>
      <c r="B3" s="16"/>
      <c r="C3" s="10"/>
      <c r="D3" s="506"/>
      <c r="E3" s="514" t="s">
        <v>21</v>
      </c>
      <c r="F3" s="515"/>
      <c r="G3" s="516">
        <f>ปร.5!F9</f>
        <v>44502</v>
      </c>
      <c r="H3" s="517"/>
      <c r="I3" s="518"/>
      <c r="J3" s="1293"/>
      <c r="K3" s="1293"/>
    </row>
    <row r="4" spans="1:18" s="15" customFormat="1" ht="19.5" customHeight="1">
      <c r="A4" s="26"/>
      <c r="B4" s="27"/>
      <c r="C4" s="26"/>
      <c r="D4" s="1322" t="s">
        <v>28</v>
      </c>
      <c r="E4" s="1322"/>
      <c r="F4" s="1322"/>
      <c r="G4" s="519"/>
      <c r="H4" s="519"/>
      <c r="I4" s="520"/>
      <c r="J4" s="519"/>
      <c r="K4" s="26"/>
    </row>
    <row r="5" spans="1:18" ht="19.5" customHeight="1">
      <c r="A5" s="1327" t="s">
        <v>7</v>
      </c>
      <c r="B5" s="1328" t="s">
        <v>18</v>
      </c>
      <c r="C5" s="1329" t="s">
        <v>14</v>
      </c>
      <c r="D5" s="1330" t="s">
        <v>14</v>
      </c>
      <c r="E5" s="1331" t="s">
        <v>13</v>
      </c>
      <c r="F5" s="1323" t="s">
        <v>8</v>
      </c>
      <c r="G5" s="1323"/>
      <c r="H5" s="1323" t="s">
        <v>9</v>
      </c>
      <c r="I5" s="1323"/>
      <c r="J5" s="1324" t="s">
        <v>10</v>
      </c>
      <c r="K5" s="1326" t="s">
        <v>15</v>
      </c>
      <c r="L5" s="15"/>
      <c r="M5" s="15"/>
    </row>
    <row r="6" spans="1:18">
      <c r="A6" s="1327"/>
      <c r="B6" s="1328"/>
      <c r="C6" s="1329"/>
      <c r="D6" s="1330"/>
      <c r="E6" s="1331"/>
      <c r="F6" s="521" t="s">
        <v>11</v>
      </c>
      <c r="G6" s="522" t="s">
        <v>12</v>
      </c>
      <c r="H6" s="522" t="s">
        <v>11</v>
      </c>
      <c r="I6" s="521" t="s">
        <v>12</v>
      </c>
      <c r="J6" s="1325"/>
      <c r="K6" s="1326"/>
      <c r="L6" s="15"/>
      <c r="M6" s="15"/>
    </row>
    <row r="7" spans="1:18">
      <c r="A7" s="523">
        <v>4</v>
      </c>
      <c r="B7" s="524" t="s">
        <v>369</v>
      </c>
      <c r="C7" s="525"/>
      <c r="D7" s="526"/>
      <c r="E7" s="527"/>
      <c r="F7" s="528"/>
      <c r="G7" s="529"/>
      <c r="H7" s="529"/>
      <c r="I7" s="528"/>
      <c r="J7" s="530"/>
      <c r="K7" s="531"/>
      <c r="L7" s="15"/>
      <c r="M7" s="15"/>
    </row>
    <row r="8" spans="1:18">
      <c r="A8" s="362">
        <v>4.0999999999999996</v>
      </c>
      <c r="B8" s="532" t="s">
        <v>116</v>
      </c>
      <c r="C8" s="533"/>
      <c r="D8" s="534"/>
      <c r="E8" s="535"/>
      <c r="F8" s="536"/>
      <c r="G8" s="297"/>
      <c r="H8" s="297"/>
      <c r="I8" s="297"/>
      <c r="J8" s="297"/>
      <c r="K8" s="537"/>
    </row>
    <row r="9" spans="1:18">
      <c r="A9" s="268"/>
      <c r="B9" s="538" t="s">
        <v>452</v>
      </c>
      <c r="C9" s="339"/>
      <c r="D9" s="539">
        <v>1</v>
      </c>
      <c r="E9" s="540" t="s">
        <v>67</v>
      </c>
      <c r="F9" s="303">
        <v>8500</v>
      </c>
      <c r="G9" s="300">
        <f t="shared" ref="G9:G10" si="0">SUM(D9*F9)</f>
        <v>8500</v>
      </c>
      <c r="H9" s="303"/>
      <c r="I9" s="300">
        <f t="shared" ref="I9:I10" si="1">SUM(D9*H9)</f>
        <v>0</v>
      </c>
      <c r="J9" s="300">
        <f t="shared" ref="J9:J10" si="2">SUM(G9+I9)</f>
        <v>8500</v>
      </c>
      <c r="K9" s="325"/>
    </row>
    <row r="10" spans="1:18">
      <c r="A10" s="268"/>
      <c r="B10" s="541" t="s">
        <v>115</v>
      </c>
      <c r="C10" s="207"/>
      <c r="D10" s="542">
        <v>1</v>
      </c>
      <c r="E10" s="543" t="s">
        <v>114</v>
      </c>
      <c r="F10" s="544">
        <v>3000</v>
      </c>
      <c r="G10" s="300">
        <f t="shared" si="0"/>
        <v>3000</v>
      </c>
      <c r="H10" s="300"/>
      <c r="I10" s="300">
        <f t="shared" si="1"/>
        <v>0</v>
      </c>
      <c r="J10" s="300">
        <f t="shared" si="2"/>
        <v>3000</v>
      </c>
      <c r="K10" s="325"/>
    </row>
    <row r="11" spans="1:18">
      <c r="A11" s="95"/>
      <c r="B11" s="545"/>
      <c r="C11" s="366"/>
      <c r="D11" s="546"/>
      <c r="E11" s="547"/>
      <c r="F11" s="548"/>
      <c r="G11" s="348"/>
      <c r="H11" s="348"/>
      <c r="I11" s="348"/>
      <c r="J11" s="348"/>
      <c r="K11" s="475"/>
    </row>
    <row r="12" spans="1:18">
      <c r="A12" s="115"/>
      <c r="B12" s="549" t="s">
        <v>227</v>
      </c>
      <c r="C12" s="310"/>
      <c r="D12" s="550"/>
      <c r="E12" s="55"/>
      <c r="F12" s="551"/>
      <c r="G12" s="54">
        <f t="shared" ref="G12:I12" si="3">SUM(G9:G10)</f>
        <v>11500</v>
      </c>
      <c r="H12" s="54"/>
      <c r="I12" s="54">
        <f t="shared" si="3"/>
        <v>0</v>
      </c>
      <c r="J12" s="54">
        <f>SUM(J9:J10)</f>
        <v>11500</v>
      </c>
      <c r="K12" s="552"/>
    </row>
    <row r="13" spans="1:18">
      <c r="A13" s="268">
        <v>4.2</v>
      </c>
      <c r="B13" s="553" t="s">
        <v>117</v>
      </c>
      <c r="C13" s="313"/>
      <c r="D13" s="539"/>
      <c r="E13" s="540"/>
      <c r="F13" s="303"/>
      <c r="G13" s="303"/>
      <c r="H13" s="343"/>
      <c r="I13" s="303"/>
      <c r="J13" s="303"/>
      <c r="K13" s="554"/>
    </row>
    <row r="14" spans="1:18" hidden="1">
      <c r="A14" s="268"/>
      <c r="B14" s="3" t="s">
        <v>380</v>
      </c>
      <c r="C14" s="313"/>
      <c r="D14" s="539">
        <v>0</v>
      </c>
      <c r="E14" s="540" t="s">
        <v>67</v>
      </c>
      <c r="F14" s="555"/>
      <c r="G14" s="300">
        <f t="shared" ref="G14:G16" si="4">SUM(D14*F14)</f>
        <v>0</v>
      </c>
      <c r="H14" s="343"/>
      <c r="I14" s="300">
        <f t="shared" ref="I14:I16" si="5">SUM(D14*H14)</f>
        <v>0</v>
      </c>
      <c r="J14" s="300">
        <f t="shared" ref="J14:J16" si="6">SUM(G14+I14)</f>
        <v>0</v>
      </c>
      <c r="K14" s="325"/>
      <c r="L14" s="65"/>
      <c r="M14" s="3" t="s">
        <v>370</v>
      </c>
      <c r="N14" s="4" t="s">
        <v>17</v>
      </c>
      <c r="O14" s="5">
        <v>1</v>
      </c>
      <c r="P14" s="5">
        <v>350</v>
      </c>
      <c r="Q14" s="6">
        <f t="shared" ref="Q14:Q24" si="7">O14*P14</f>
        <v>350</v>
      </c>
      <c r="R14" s="6">
        <v>500</v>
      </c>
    </row>
    <row r="15" spans="1:18">
      <c r="A15" s="268"/>
      <c r="B15" s="3" t="s">
        <v>504</v>
      </c>
      <c r="C15" s="250"/>
      <c r="D15" s="539">
        <v>10</v>
      </c>
      <c r="E15" s="543" t="s">
        <v>67</v>
      </c>
      <c r="F15" s="544">
        <v>750</v>
      </c>
      <c r="G15" s="300">
        <f t="shared" si="4"/>
        <v>7500</v>
      </c>
      <c r="H15" s="300">
        <v>350</v>
      </c>
      <c r="I15" s="300">
        <f t="shared" si="5"/>
        <v>3500</v>
      </c>
      <c r="J15" s="300">
        <f t="shared" si="6"/>
        <v>11000</v>
      </c>
      <c r="K15" s="325"/>
      <c r="L15" s="65"/>
      <c r="M15" s="3" t="s">
        <v>371</v>
      </c>
      <c r="N15" s="4" t="s">
        <v>17</v>
      </c>
      <c r="O15" s="5">
        <v>1</v>
      </c>
      <c r="P15" s="5">
        <v>3500</v>
      </c>
      <c r="Q15" s="6">
        <f t="shared" si="7"/>
        <v>3500</v>
      </c>
      <c r="R15" s="6">
        <v>400</v>
      </c>
    </row>
    <row r="16" spans="1:18">
      <c r="A16" s="268"/>
      <c r="B16" s="3" t="s">
        <v>503</v>
      </c>
      <c r="C16" s="250"/>
      <c r="D16" s="542">
        <v>11</v>
      </c>
      <c r="E16" s="543" t="s">
        <v>67</v>
      </c>
      <c r="F16" s="544">
        <v>500</v>
      </c>
      <c r="G16" s="300">
        <f t="shared" si="4"/>
        <v>5500</v>
      </c>
      <c r="H16" s="300">
        <v>350</v>
      </c>
      <c r="I16" s="300">
        <f t="shared" si="5"/>
        <v>3850</v>
      </c>
      <c r="J16" s="300">
        <f t="shared" si="6"/>
        <v>9350</v>
      </c>
      <c r="K16" s="325"/>
      <c r="M16" s="3" t="s">
        <v>372</v>
      </c>
      <c r="N16" s="4" t="s">
        <v>17</v>
      </c>
      <c r="O16" s="5">
        <v>5</v>
      </c>
      <c r="P16" s="5">
        <v>500</v>
      </c>
      <c r="Q16" s="6">
        <f t="shared" si="7"/>
        <v>2500</v>
      </c>
      <c r="R16" s="6">
        <v>100</v>
      </c>
    </row>
    <row r="17" spans="1:19">
      <c r="A17" s="268"/>
      <c r="B17" s="3" t="s">
        <v>381</v>
      </c>
      <c r="C17" s="313"/>
      <c r="D17" s="539">
        <v>4</v>
      </c>
      <c r="E17" s="540" t="s">
        <v>67</v>
      </c>
      <c r="F17" s="555">
        <v>1000</v>
      </c>
      <c r="G17" s="300">
        <f t="shared" ref="G17:G19" si="8">SUM(D17*F17)</f>
        <v>4000</v>
      </c>
      <c r="H17" s="343">
        <v>350</v>
      </c>
      <c r="I17" s="300">
        <f t="shared" ref="I17:I19" si="9">SUM(D17*H17)</f>
        <v>1400</v>
      </c>
      <c r="J17" s="300">
        <f t="shared" ref="J17:J19" si="10">SUM(G17+I17)</f>
        <v>5400</v>
      </c>
      <c r="K17" s="325"/>
      <c r="L17" s="65"/>
      <c r="M17" s="3" t="s">
        <v>373</v>
      </c>
      <c r="N17" s="4" t="s">
        <v>17</v>
      </c>
      <c r="O17" s="5">
        <v>29</v>
      </c>
      <c r="P17" s="5">
        <v>200</v>
      </c>
      <c r="Q17" s="6">
        <f t="shared" si="7"/>
        <v>5800</v>
      </c>
      <c r="R17" s="6">
        <v>100</v>
      </c>
    </row>
    <row r="18" spans="1:19" hidden="1">
      <c r="A18" s="268"/>
      <c r="B18" s="344" t="s">
        <v>268</v>
      </c>
      <c r="C18" s="250"/>
      <c r="D18" s="539">
        <v>0</v>
      </c>
      <c r="E18" s="543" t="s">
        <v>67</v>
      </c>
      <c r="F18" s="544"/>
      <c r="G18" s="300">
        <f t="shared" si="8"/>
        <v>0</v>
      </c>
      <c r="H18" s="300"/>
      <c r="I18" s="300">
        <f t="shared" si="9"/>
        <v>0</v>
      </c>
      <c r="J18" s="300">
        <f t="shared" si="10"/>
        <v>0</v>
      </c>
      <c r="K18" s="325"/>
      <c r="L18" s="65"/>
      <c r="M18" s="3" t="s">
        <v>374</v>
      </c>
      <c r="N18" s="4" t="s">
        <v>17</v>
      </c>
      <c r="O18" s="5">
        <v>4</v>
      </c>
      <c r="P18" s="5">
        <v>500</v>
      </c>
      <c r="Q18" s="6">
        <f t="shared" si="7"/>
        <v>2000</v>
      </c>
      <c r="R18" s="6">
        <v>100</v>
      </c>
    </row>
    <row r="19" spans="1:19">
      <c r="A19" s="268"/>
      <c r="B19" s="553" t="s">
        <v>457</v>
      </c>
      <c r="C19" s="313"/>
      <c r="D19" s="539">
        <v>1</v>
      </c>
      <c r="E19" s="540" t="s">
        <v>67</v>
      </c>
      <c r="F19" s="555">
        <v>350</v>
      </c>
      <c r="G19" s="300">
        <f t="shared" si="8"/>
        <v>350</v>
      </c>
      <c r="H19" s="343">
        <v>350</v>
      </c>
      <c r="I19" s="300">
        <f t="shared" si="9"/>
        <v>350</v>
      </c>
      <c r="J19" s="300">
        <f t="shared" si="10"/>
        <v>700</v>
      </c>
      <c r="K19" s="325"/>
      <c r="L19" s="65"/>
      <c r="M19" s="3" t="s">
        <v>375</v>
      </c>
      <c r="N19" s="4" t="s">
        <v>17</v>
      </c>
      <c r="O19" s="5">
        <v>9</v>
      </c>
      <c r="P19" s="5">
        <v>150</v>
      </c>
      <c r="Q19" s="6">
        <f t="shared" si="7"/>
        <v>1350</v>
      </c>
      <c r="R19" s="6">
        <v>100</v>
      </c>
    </row>
    <row r="20" spans="1:19" hidden="1">
      <c r="A20" s="95"/>
      <c r="B20" s="619"/>
      <c r="C20" s="366"/>
      <c r="D20" s="546"/>
      <c r="E20" s="547"/>
      <c r="F20" s="548"/>
      <c r="G20" s="348"/>
      <c r="H20" s="563"/>
      <c r="I20" s="348"/>
      <c r="J20" s="348"/>
      <c r="K20" s="475"/>
      <c r="L20" s="65"/>
      <c r="M20" s="3"/>
      <c r="N20" s="4"/>
      <c r="O20" s="5"/>
      <c r="P20" s="5"/>
      <c r="Q20" s="6"/>
      <c r="R20" s="6"/>
    </row>
    <row r="21" spans="1:19" hidden="1">
      <c r="A21" s="95"/>
      <c r="B21" s="545"/>
      <c r="C21" s="366"/>
      <c r="D21" s="546"/>
      <c r="E21" s="547"/>
      <c r="F21" s="548"/>
      <c r="G21" s="348"/>
      <c r="H21" s="348"/>
      <c r="I21" s="348"/>
      <c r="J21" s="348"/>
      <c r="K21" s="475"/>
      <c r="M21" s="3" t="s">
        <v>376</v>
      </c>
      <c r="N21" s="4" t="s">
        <v>191</v>
      </c>
      <c r="O21" s="5">
        <v>50</v>
      </c>
      <c r="P21" s="5">
        <v>40</v>
      </c>
      <c r="Q21" s="6">
        <f t="shared" si="7"/>
        <v>2000</v>
      </c>
      <c r="R21" s="6">
        <v>10</v>
      </c>
    </row>
    <row r="22" spans="1:19">
      <c r="A22" s="118"/>
      <c r="B22" s="556" t="s">
        <v>228</v>
      </c>
      <c r="C22" s="557"/>
      <c r="D22" s="558"/>
      <c r="E22" s="237"/>
      <c r="F22" s="368"/>
      <c r="G22" s="54">
        <f>SUM(G14:G19)</f>
        <v>17350</v>
      </c>
      <c r="H22" s="54"/>
      <c r="I22" s="54">
        <f>SUM(I14:I19)</f>
        <v>9100</v>
      </c>
      <c r="J22" s="54">
        <f>SUM(J14:J19)</f>
        <v>26450</v>
      </c>
      <c r="K22" s="559"/>
      <c r="M22" s="3" t="s">
        <v>377</v>
      </c>
      <c r="N22" s="4" t="s">
        <v>191</v>
      </c>
      <c r="O22" s="5">
        <v>30</v>
      </c>
      <c r="P22" s="5">
        <v>50</v>
      </c>
      <c r="Q22" s="6">
        <f t="shared" si="7"/>
        <v>1500</v>
      </c>
      <c r="R22" s="6">
        <v>10</v>
      </c>
    </row>
    <row r="23" spans="1:19">
      <c r="A23" s="268">
        <v>4.3</v>
      </c>
      <c r="B23" s="352" t="s">
        <v>118</v>
      </c>
      <c r="C23" s="313"/>
      <c r="D23" s="303"/>
      <c r="E23" s="540"/>
      <c r="F23" s="555"/>
      <c r="G23" s="303"/>
      <c r="H23" s="303"/>
      <c r="I23" s="303"/>
      <c r="J23" s="303"/>
      <c r="K23" s="560"/>
      <c r="M23" s="3" t="s">
        <v>378</v>
      </c>
      <c r="N23" s="4" t="s">
        <v>329</v>
      </c>
      <c r="O23" s="5">
        <v>1</v>
      </c>
      <c r="P23" s="5">
        <v>550</v>
      </c>
      <c r="Q23" s="6">
        <f t="shared" si="7"/>
        <v>550</v>
      </c>
      <c r="R23" s="6">
        <v>0</v>
      </c>
    </row>
    <row r="24" spans="1:19" hidden="1">
      <c r="A24" s="268"/>
      <c r="B24" s="324" t="s">
        <v>272</v>
      </c>
      <c r="C24" s="313"/>
      <c r="D24" s="303">
        <v>0</v>
      </c>
      <c r="E24" s="543" t="s">
        <v>59</v>
      </c>
      <c r="F24" s="544"/>
      <c r="G24" s="300">
        <f t="shared" ref="G24:G30" si="11">SUM(D24*F24)</f>
        <v>0</v>
      </c>
      <c r="H24" s="303"/>
      <c r="I24" s="300">
        <f t="shared" ref="I24:I30" si="12">SUM(D24*H24)</f>
        <v>0</v>
      </c>
      <c r="J24" s="300">
        <f t="shared" ref="J24:J30" si="13">SUM(G24+I24)</f>
        <v>0</v>
      </c>
      <c r="K24" s="325"/>
      <c r="M24" s="3" t="s">
        <v>379</v>
      </c>
      <c r="N24" s="4" t="s">
        <v>123</v>
      </c>
      <c r="O24" s="5">
        <v>1</v>
      </c>
      <c r="P24" s="5">
        <v>1000</v>
      </c>
      <c r="Q24" s="6">
        <f t="shared" si="7"/>
        <v>1000</v>
      </c>
      <c r="R24" s="6">
        <v>0</v>
      </c>
    </row>
    <row r="25" spans="1:19" hidden="1">
      <c r="A25" s="268"/>
      <c r="B25" s="324" t="s">
        <v>274</v>
      </c>
      <c r="C25" s="250"/>
      <c r="D25" s="300">
        <v>0</v>
      </c>
      <c r="E25" s="543" t="s">
        <v>59</v>
      </c>
      <c r="F25" s="300"/>
      <c r="G25" s="300">
        <f>SUM(D25*F25)</f>
        <v>0</v>
      </c>
      <c r="H25" s="300"/>
      <c r="I25" s="300">
        <f t="shared" si="12"/>
        <v>0</v>
      </c>
      <c r="J25" s="300">
        <f t="shared" si="13"/>
        <v>0</v>
      </c>
      <c r="K25" s="325"/>
    </row>
    <row r="26" spans="1:19">
      <c r="A26" s="268"/>
      <c r="B26" s="324" t="s">
        <v>177</v>
      </c>
      <c r="C26" s="250"/>
      <c r="D26" s="300">
        <v>300</v>
      </c>
      <c r="E26" s="543" t="s">
        <v>59</v>
      </c>
      <c r="F26" s="300">
        <v>20</v>
      </c>
      <c r="G26" s="300">
        <f>SUM(D26*F26)</f>
        <v>6000</v>
      </c>
      <c r="H26" s="300">
        <v>20</v>
      </c>
      <c r="I26" s="300">
        <f t="shared" si="12"/>
        <v>6000</v>
      </c>
      <c r="J26" s="300">
        <f t="shared" si="13"/>
        <v>12000</v>
      </c>
      <c r="K26" s="325"/>
    </row>
    <row r="27" spans="1:19">
      <c r="A27" s="268"/>
      <c r="B27" s="324" t="s">
        <v>178</v>
      </c>
      <c r="C27" s="250"/>
      <c r="D27" s="300">
        <v>600</v>
      </c>
      <c r="E27" s="543" t="s">
        <v>59</v>
      </c>
      <c r="F27" s="300">
        <v>17</v>
      </c>
      <c r="G27" s="300">
        <f>SUM(D27*F27)</f>
        <v>10200</v>
      </c>
      <c r="H27" s="300">
        <v>15</v>
      </c>
      <c r="I27" s="300">
        <f t="shared" ref="I27" si="14">SUM(D27*H27)</f>
        <v>9000</v>
      </c>
      <c r="J27" s="300">
        <f t="shared" ref="J27" si="15">SUM(G27+I27)</f>
        <v>19200</v>
      </c>
      <c r="K27" s="325"/>
    </row>
    <row r="28" spans="1:19">
      <c r="A28" s="268"/>
      <c r="B28" s="561" t="s">
        <v>434</v>
      </c>
      <c r="C28" s="250"/>
      <c r="D28" s="300">
        <v>300</v>
      </c>
      <c r="E28" s="543" t="s">
        <v>59</v>
      </c>
      <c r="F28" s="300">
        <v>18</v>
      </c>
      <c r="G28" s="300">
        <f t="shared" ref="G28" si="16">SUM(D28*F28)</f>
        <v>5400</v>
      </c>
      <c r="H28" s="44">
        <v>15</v>
      </c>
      <c r="I28" s="300">
        <f t="shared" si="12"/>
        <v>4500</v>
      </c>
      <c r="J28" s="300">
        <f t="shared" si="13"/>
        <v>9900</v>
      </c>
      <c r="K28" s="325"/>
    </row>
    <row r="29" spans="1:19">
      <c r="A29" s="268"/>
      <c r="B29" s="324" t="s">
        <v>397</v>
      </c>
      <c r="C29" s="250"/>
      <c r="D29" s="300">
        <v>2</v>
      </c>
      <c r="E29" s="543" t="s">
        <v>67</v>
      </c>
      <c r="F29" s="300">
        <v>600</v>
      </c>
      <c r="G29" s="300">
        <f>SUM(D29*F29)</f>
        <v>1200</v>
      </c>
      <c r="H29" s="300">
        <v>250</v>
      </c>
      <c r="I29" s="300">
        <f t="shared" ref="I29" si="17">SUM(D29*H29)</f>
        <v>500</v>
      </c>
      <c r="J29" s="300">
        <f t="shared" ref="J29" si="18">SUM(G29+I29)</f>
        <v>1700</v>
      </c>
      <c r="K29" s="325"/>
    </row>
    <row r="30" spans="1:19">
      <c r="A30" s="268"/>
      <c r="B30" s="541" t="s">
        <v>115</v>
      </c>
      <c r="C30" s="207"/>
      <c r="D30" s="300">
        <v>1</v>
      </c>
      <c r="E30" s="543" t="s">
        <v>114</v>
      </c>
      <c r="F30" s="544">
        <v>3000</v>
      </c>
      <c r="G30" s="300">
        <f t="shared" si="11"/>
        <v>3000</v>
      </c>
      <c r="H30" s="300"/>
      <c r="I30" s="300">
        <f t="shared" si="12"/>
        <v>0</v>
      </c>
      <c r="J30" s="300">
        <f t="shared" si="13"/>
        <v>3000</v>
      </c>
      <c r="K30" s="325"/>
      <c r="M30" s="3" t="s">
        <v>388</v>
      </c>
      <c r="N30" s="4" t="s">
        <v>386</v>
      </c>
      <c r="O30" s="5">
        <v>4</v>
      </c>
      <c r="P30" s="5">
        <v>500</v>
      </c>
      <c r="Q30" s="6">
        <f t="shared" ref="Q30:Q31" si="19">O30*P30</f>
        <v>2000</v>
      </c>
      <c r="R30" s="6">
        <v>120</v>
      </c>
      <c r="S30" s="6">
        <f t="shared" ref="S30:S31" si="20">+O30*R30</f>
        <v>480</v>
      </c>
    </row>
    <row r="31" spans="1:19">
      <c r="A31" s="95"/>
      <c r="B31" s="351"/>
      <c r="C31" s="366"/>
      <c r="D31" s="348"/>
      <c r="E31" s="547"/>
      <c r="F31" s="548"/>
      <c r="G31" s="348"/>
      <c r="H31" s="348"/>
      <c r="I31" s="348"/>
      <c r="J31" s="348"/>
      <c r="K31" s="475"/>
      <c r="M31" s="3" t="s">
        <v>387</v>
      </c>
      <c r="N31" s="4" t="s">
        <v>386</v>
      </c>
      <c r="O31" s="5">
        <v>1</v>
      </c>
      <c r="P31" s="5">
        <v>500</v>
      </c>
      <c r="Q31" s="6">
        <f t="shared" si="19"/>
        <v>500</v>
      </c>
      <c r="R31" s="6">
        <v>120</v>
      </c>
      <c r="S31" s="6">
        <f t="shared" si="20"/>
        <v>120</v>
      </c>
    </row>
    <row r="32" spans="1:19">
      <c r="A32" s="115"/>
      <c r="B32" s="35" t="s">
        <v>229</v>
      </c>
      <c r="C32" s="310"/>
      <c r="D32" s="562"/>
      <c r="E32" s="55"/>
      <c r="F32" s="54"/>
      <c r="G32" s="54">
        <f>SUM(G24:G31)</f>
        <v>25800</v>
      </c>
      <c r="H32" s="54"/>
      <c r="I32" s="54">
        <f>SUM(I24:I31)</f>
        <v>20000</v>
      </c>
      <c r="J32" s="54">
        <f>SUM(J24:J31)</f>
        <v>45800</v>
      </c>
      <c r="K32" s="552"/>
    </row>
    <row r="33" spans="1:11">
      <c r="A33" s="268">
        <v>4.4000000000000004</v>
      </c>
      <c r="B33" s="352" t="s">
        <v>119</v>
      </c>
      <c r="C33" s="313"/>
      <c r="D33" s="303"/>
      <c r="E33" s="540"/>
      <c r="F33" s="555"/>
      <c r="G33" s="303"/>
      <c r="H33" s="303"/>
      <c r="I33" s="303"/>
      <c r="J33" s="303"/>
      <c r="K33" s="560"/>
    </row>
    <row r="34" spans="1:11">
      <c r="A34" s="39"/>
      <c r="B34" s="324" t="s">
        <v>187</v>
      </c>
      <c r="C34" s="250"/>
      <c r="D34" s="300">
        <v>19</v>
      </c>
      <c r="E34" s="543" t="s">
        <v>67</v>
      </c>
      <c r="F34" s="544">
        <v>200</v>
      </c>
      <c r="G34" s="300">
        <f t="shared" ref="G34:G37" si="21">SUM(D34*F34)</f>
        <v>3800</v>
      </c>
      <c r="H34" s="300">
        <v>150</v>
      </c>
      <c r="I34" s="300">
        <f t="shared" ref="I34:I37" si="22">SUM(D34*H34)</f>
        <v>2850</v>
      </c>
      <c r="J34" s="300">
        <f t="shared" ref="J34:J37" si="23">SUM(G34+I34)</f>
        <v>6650</v>
      </c>
      <c r="K34" s="325"/>
    </row>
    <row r="35" spans="1:11" hidden="1">
      <c r="A35" s="39"/>
      <c r="B35" s="324" t="s">
        <v>307</v>
      </c>
      <c r="C35" s="250"/>
      <c r="D35" s="300">
        <v>0</v>
      </c>
      <c r="E35" s="543" t="s">
        <v>67</v>
      </c>
      <c r="F35" s="544"/>
      <c r="G35" s="300">
        <f t="shared" ref="G35" si="24">SUM(D35*F35)</f>
        <v>0</v>
      </c>
      <c r="H35" s="300">
        <v>115</v>
      </c>
      <c r="I35" s="300">
        <f t="shared" ref="I35" si="25">SUM(D35*H35)</f>
        <v>0</v>
      </c>
      <c r="J35" s="300">
        <f t="shared" ref="J35" si="26">SUM(G35+I35)</f>
        <v>0</v>
      </c>
      <c r="K35" s="325"/>
    </row>
    <row r="36" spans="1:11">
      <c r="A36" s="39"/>
      <c r="B36" s="324" t="s">
        <v>188</v>
      </c>
      <c r="C36" s="250"/>
      <c r="D36" s="300">
        <v>17</v>
      </c>
      <c r="E36" s="543" t="s">
        <v>67</v>
      </c>
      <c r="F36" s="544">
        <v>200</v>
      </c>
      <c r="G36" s="300">
        <f t="shared" si="21"/>
        <v>3400</v>
      </c>
      <c r="H36" s="300">
        <v>150</v>
      </c>
      <c r="I36" s="300">
        <f t="shared" si="22"/>
        <v>2550</v>
      </c>
      <c r="J36" s="300">
        <f t="shared" si="23"/>
        <v>5950</v>
      </c>
      <c r="K36" s="325"/>
    </row>
    <row r="37" spans="1:11">
      <c r="A37" s="39"/>
      <c r="B37" s="541" t="s">
        <v>115</v>
      </c>
      <c r="C37" s="316"/>
      <c r="D37" s="300">
        <v>1</v>
      </c>
      <c r="E37" s="543" t="s">
        <v>114</v>
      </c>
      <c r="F37" s="544">
        <v>3000</v>
      </c>
      <c r="G37" s="300">
        <f t="shared" si="21"/>
        <v>3000</v>
      </c>
      <c r="H37" s="314"/>
      <c r="I37" s="300">
        <f t="shared" si="22"/>
        <v>0</v>
      </c>
      <c r="J37" s="300">
        <f t="shared" si="23"/>
        <v>3000</v>
      </c>
      <c r="K37" s="325"/>
    </row>
    <row r="38" spans="1:11">
      <c r="A38" s="95"/>
      <c r="B38" s="351"/>
      <c r="C38" s="346"/>
      <c r="D38" s="348"/>
      <c r="E38" s="547"/>
      <c r="F38" s="548"/>
      <c r="G38" s="348"/>
      <c r="H38" s="563"/>
      <c r="I38" s="348"/>
      <c r="J38" s="348"/>
      <c r="K38" s="475"/>
    </row>
    <row r="39" spans="1:11">
      <c r="A39" s="115"/>
      <c r="B39" s="35" t="s">
        <v>230</v>
      </c>
      <c r="C39" s="564"/>
      <c r="D39" s="54"/>
      <c r="E39" s="55"/>
      <c r="F39" s="551"/>
      <c r="G39" s="54">
        <f>SUM(G34:G37)</f>
        <v>10200</v>
      </c>
      <c r="H39" s="54"/>
      <c r="I39" s="54">
        <f>SUM(I34:I37)</f>
        <v>5400</v>
      </c>
      <c r="J39" s="54">
        <f>SUM(J34:J37)</f>
        <v>15600</v>
      </c>
      <c r="K39" s="559"/>
    </row>
    <row r="40" spans="1:11" hidden="1">
      <c r="A40" s="268">
        <v>4.5</v>
      </c>
      <c r="B40" s="352" t="s">
        <v>308</v>
      </c>
      <c r="C40" s="313"/>
      <c r="D40" s="303"/>
      <c r="E40" s="540"/>
      <c r="F40" s="555"/>
      <c r="G40" s="303"/>
      <c r="H40" s="303"/>
      <c r="I40" s="303"/>
      <c r="J40" s="303"/>
      <c r="K40" s="560"/>
    </row>
    <row r="41" spans="1:11" hidden="1">
      <c r="A41" s="39" t="s">
        <v>269</v>
      </c>
      <c r="B41" s="324" t="s">
        <v>210</v>
      </c>
      <c r="C41" s="250"/>
      <c r="D41" s="300">
        <v>0</v>
      </c>
      <c r="E41" s="543" t="s">
        <v>67</v>
      </c>
      <c r="F41" s="544">
        <v>1300</v>
      </c>
      <c r="G41" s="300">
        <f t="shared" ref="G41:G43" si="27">SUM(D41*F41)</f>
        <v>0</v>
      </c>
      <c r="H41" s="300"/>
      <c r="I41" s="300">
        <f t="shared" ref="I41:I43" si="28">SUM(D41*H41)</f>
        <v>0</v>
      </c>
      <c r="J41" s="300">
        <f t="shared" ref="J41:J43" si="29">SUM(G41+I41)</f>
        <v>0</v>
      </c>
      <c r="K41" s="325"/>
    </row>
    <row r="42" spans="1:11" hidden="1">
      <c r="A42" s="39" t="s">
        <v>270</v>
      </c>
      <c r="B42" s="324" t="s">
        <v>278</v>
      </c>
      <c r="C42" s="250"/>
      <c r="D42" s="300">
        <v>0</v>
      </c>
      <c r="E42" s="543" t="s">
        <v>59</v>
      </c>
      <c r="F42" s="544">
        <v>272</v>
      </c>
      <c r="G42" s="300">
        <f t="shared" si="27"/>
        <v>0</v>
      </c>
      <c r="H42" s="300"/>
      <c r="I42" s="300">
        <f t="shared" si="28"/>
        <v>0</v>
      </c>
      <c r="J42" s="300">
        <f t="shared" si="29"/>
        <v>0</v>
      </c>
      <c r="K42" s="325"/>
    </row>
    <row r="43" spans="1:11" hidden="1">
      <c r="A43" s="39" t="s">
        <v>271</v>
      </c>
      <c r="B43" s="354" t="s">
        <v>211</v>
      </c>
      <c r="C43" s="316"/>
      <c r="D43" s="317">
        <v>0</v>
      </c>
      <c r="E43" s="565" t="s">
        <v>59</v>
      </c>
      <c r="F43" s="544">
        <v>267</v>
      </c>
      <c r="G43" s="300">
        <f t="shared" si="27"/>
        <v>0</v>
      </c>
      <c r="H43" s="566"/>
      <c r="I43" s="300">
        <f t="shared" si="28"/>
        <v>0</v>
      </c>
      <c r="J43" s="300">
        <f t="shared" si="29"/>
        <v>0</v>
      </c>
      <c r="K43" s="325"/>
    </row>
    <row r="44" spans="1:11" hidden="1">
      <c r="A44" s="39" t="s">
        <v>273</v>
      </c>
      <c r="B44" s="324" t="s">
        <v>212</v>
      </c>
      <c r="C44" s="250"/>
      <c r="D44" s="300"/>
      <c r="E44" s="543"/>
      <c r="F44" s="544"/>
      <c r="G44" s="300"/>
      <c r="H44" s="300"/>
      <c r="I44" s="300"/>
      <c r="J44" s="300"/>
      <c r="K44" s="325"/>
    </row>
    <row r="45" spans="1:11" hidden="1">
      <c r="A45" s="39" t="s">
        <v>275</v>
      </c>
      <c r="B45" s="324" t="s">
        <v>213</v>
      </c>
      <c r="C45" s="250"/>
      <c r="D45" s="300">
        <v>0</v>
      </c>
      <c r="E45" s="543" t="s">
        <v>67</v>
      </c>
      <c r="F45" s="544">
        <v>2000</v>
      </c>
      <c r="G45" s="300">
        <f t="shared" ref="G45:G46" si="30">SUM(D45*F45)</f>
        <v>0</v>
      </c>
      <c r="H45" s="300"/>
      <c r="I45" s="300">
        <f t="shared" ref="I45:I46" si="31">SUM(D45*H45)</f>
        <v>0</v>
      </c>
      <c r="J45" s="300">
        <f t="shared" ref="J45:J46" si="32">SUM(G45+I45)</f>
        <v>0</v>
      </c>
      <c r="K45" s="325"/>
    </row>
    <row r="46" spans="1:11" hidden="1">
      <c r="A46" s="39" t="s">
        <v>276</v>
      </c>
      <c r="B46" s="324" t="s">
        <v>214</v>
      </c>
      <c r="C46" s="250"/>
      <c r="D46" s="300">
        <v>0</v>
      </c>
      <c r="E46" s="543" t="s">
        <v>67</v>
      </c>
      <c r="F46" s="544">
        <v>1100</v>
      </c>
      <c r="G46" s="300">
        <f t="shared" si="30"/>
        <v>0</v>
      </c>
      <c r="H46" s="300"/>
      <c r="I46" s="300">
        <f t="shared" si="31"/>
        <v>0</v>
      </c>
      <c r="J46" s="300">
        <f t="shared" si="32"/>
        <v>0</v>
      </c>
      <c r="K46" s="325"/>
    </row>
    <row r="47" spans="1:11" hidden="1">
      <c r="A47" s="39" t="s">
        <v>277</v>
      </c>
      <c r="B47" s="354" t="s">
        <v>215</v>
      </c>
      <c r="C47" s="316"/>
      <c r="D47" s="317">
        <v>0</v>
      </c>
      <c r="E47" s="565"/>
      <c r="F47" s="544"/>
      <c r="G47" s="300"/>
      <c r="H47" s="566"/>
      <c r="I47" s="300"/>
      <c r="J47" s="300"/>
      <c r="K47" s="325"/>
    </row>
    <row r="48" spans="1:11" hidden="1">
      <c r="A48" s="39"/>
      <c r="B48" s="324" t="s">
        <v>216</v>
      </c>
      <c r="C48" s="250"/>
      <c r="D48" s="300">
        <v>0</v>
      </c>
      <c r="E48" s="543" t="s">
        <v>59</v>
      </c>
      <c r="F48" s="544">
        <v>38</v>
      </c>
      <c r="G48" s="300">
        <f t="shared" ref="G48:G52" si="33">SUM(D48*F48)</f>
        <v>0</v>
      </c>
      <c r="H48" s="300"/>
      <c r="I48" s="300">
        <f t="shared" ref="I48:I52" si="34">SUM(D48*H48)</f>
        <v>0</v>
      </c>
      <c r="J48" s="300">
        <f t="shared" ref="J48:J52" si="35">SUM(G48+I48)</f>
        <v>0</v>
      </c>
      <c r="K48" s="325"/>
    </row>
    <row r="49" spans="1:12" hidden="1">
      <c r="A49" s="39"/>
      <c r="B49" s="324" t="s">
        <v>217</v>
      </c>
      <c r="C49" s="250"/>
      <c r="D49" s="300">
        <v>0</v>
      </c>
      <c r="E49" s="565" t="s">
        <v>114</v>
      </c>
      <c r="F49" s="544">
        <v>10000</v>
      </c>
      <c r="G49" s="300">
        <f t="shared" si="33"/>
        <v>0</v>
      </c>
      <c r="H49" s="300"/>
      <c r="I49" s="300">
        <f t="shared" si="34"/>
        <v>0</v>
      </c>
      <c r="J49" s="300">
        <f t="shared" si="35"/>
        <v>0</v>
      </c>
      <c r="K49" s="325"/>
    </row>
    <row r="50" spans="1:12" hidden="1">
      <c r="A50" s="39" t="s">
        <v>383</v>
      </c>
      <c r="B50" s="354" t="s">
        <v>218</v>
      </c>
      <c r="C50" s="316"/>
      <c r="D50" s="317">
        <v>0</v>
      </c>
      <c r="E50" s="565" t="s">
        <v>114</v>
      </c>
      <c r="F50" s="544">
        <v>15000</v>
      </c>
      <c r="G50" s="300">
        <f t="shared" si="33"/>
        <v>0</v>
      </c>
      <c r="H50" s="566"/>
      <c r="I50" s="300">
        <f t="shared" si="34"/>
        <v>0</v>
      </c>
      <c r="J50" s="300">
        <f t="shared" si="35"/>
        <v>0</v>
      </c>
      <c r="K50" s="325"/>
    </row>
    <row r="51" spans="1:12" hidden="1">
      <c r="A51" s="39" t="s">
        <v>384</v>
      </c>
      <c r="B51" s="354" t="s">
        <v>219</v>
      </c>
      <c r="C51" s="316"/>
      <c r="D51" s="317">
        <v>0</v>
      </c>
      <c r="E51" s="565" t="s">
        <v>221</v>
      </c>
      <c r="F51" s="544">
        <v>20</v>
      </c>
      <c r="G51" s="300">
        <f t="shared" si="33"/>
        <v>0</v>
      </c>
      <c r="H51" s="566"/>
      <c r="I51" s="300">
        <f t="shared" si="34"/>
        <v>0</v>
      </c>
      <c r="J51" s="300">
        <f t="shared" si="35"/>
        <v>0</v>
      </c>
      <c r="K51" s="325"/>
    </row>
    <row r="52" spans="1:12" hidden="1">
      <c r="A52" s="258" t="s">
        <v>385</v>
      </c>
      <c r="B52" s="354" t="s">
        <v>220</v>
      </c>
      <c r="C52" s="316"/>
      <c r="D52" s="317">
        <v>0</v>
      </c>
      <c r="E52" s="565" t="s">
        <v>114</v>
      </c>
      <c r="F52" s="567">
        <v>3500</v>
      </c>
      <c r="G52" s="317">
        <f t="shared" si="33"/>
        <v>0</v>
      </c>
      <c r="H52" s="566"/>
      <c r="I52" s="317">
        <f t="shared" si="34"/>
        <v>0</v>
      </c>
      <c r="J52" s="317">
        <f t="shared" si="35"/>
        <v>0</v>
      </c>
      <c r="K52" s="475"/>
    </row>
    <row r="53" spans="1:12" hidden="1">
      <c r="A53" s="340"/>
      <c r="B53" s="379"/>
      <c r="C53" s="318"/>
      <c r="D53" s="341"/>
      <c r="E53" s="568"/>
      <c r="F53" s="569"/>
      <c r="G53" s="341"/>
      <c r="H53" s="570"/>
      <c r="I53" s="341"/>
      <c r="J53" s="341"/>
      <c r="K53" s="571"/>
    </row>
    <row r="54" spans="1:12" hidden="1">
      <c r="A54" s="115"/>
      <c r="B54" s="35" t="s">
        <v>389</v>
      </c>
      <c r="C54" s="564"/>
      <c r="D54" s="54"/>
      <c r="E54" s="55"/>
      <c r="F54" s="551"/>
      <c r="G54" s="54">
        <f>SUM(G41:G52)</f>
        <v>0</v>
      </c>
      <c r="H54" s="54"/>
      <c r="I54" s="54">
        <f t="shared" ref="I54" si="36">SUM(I41:I52)</f>
        <v>0</v>
      </c>
      <c r="J54" s="54">
        <f>SUM(J41:J52)</f>
        <v>0</v>
      </c>
      <c r="K54" s="559"/>
    </row>
    <row r="55" spans="1:12" hidden="1">
      <c r="A55" s="268">
        <v>4.5999999999999996</v>
      </c>
      <c r="B55" s="352" t="s">
        <v>411</v>
      </c>
      <c r="C55" s="313"/>
      <c r="D55" s="303"/>
      <c r="E55" s="540"/>
      <c r="F55" s="303"/>
      <c r="G55" s="303"/>
      <c r="H55" s="364"/>
      <c r="I55" s="303"/>
      <c r="J55" s="303"/>
      <c r="K55" s="554"/>
      <c r="L55" s="46"/>
    </row>
    <row r="56" spans="1:12" hidden="1">
      <c r="A56" s="39" t="s">
        <v>401</v>
      </c>
      <c r="B56" s="324" t="s">
        <v>408</v>
      </c>
      <c r="C56" s="250"/>
      <c r="D56" s="303">
        <v>0</v>
      </c>
      <c r="E56" s="540" t="s">
        <v>67</v>
      </c>
      <c r="F56" s="303">
        <v>3000</v>
      </c>
      <c r="G56" s="300">
        <f t="shared" ref="G56:G62" si="37">SUM(D56*F56)</f>
        <v>0</v>
      </c>
      <c r="H56" s="270"/>
      <c r="I56" s="300">
        <f t="shared" ref="I56:I62" si="38">SUM(D56*H56)</f>
        <v>0</v>
      </c>
      <c r="J56" s="300">
        <f t="shared" ref="J56:J62" si="39">SUM(G56+I56)</f>
        <v>0</v>
      </c>
      <c r="K56" s="325"/>
    </row>
    <row r="57" spans="1:12" hidden="1">
      <c r="A57" s="39" t="s">
        <v>402</v>
      </c>
      <c r="B57" s="352" t="s">
        <v>409</v>
      </c>
      <c r="C57" s="313"/>
      <c r="D57" s="303">
        <v>0</v>
      </c>
      <c r="E57" s="540" t="s">
        <v>67</v>
      </c>
      <c r="F57" s="303">
        <v>5000</v>
      </c>
      <c r="G57" s="300">
        <f t="shared" si="37"/>
        <v>0</v>
      </c>
      <c r="H57" s="270"/>
      <c r="I57" s="300">
        <f t="shared" si="38"/>
        <v>0</v>
      </c>
      <c r="J57" s="300">
        <f t="shared" si="39"/>
        <v>0</v>
      </c>
      <c r="K57" s="325"/>
    </row>
    <row r="58" spans="1:12" hidden="1">
      <c r="A58" s="39" t="s">
        <v>403</v>
      </c>
      <c r="B58" s="324" t="s">
        <v>410</v>
      </c>
      <c r="C58" s="250"/>
      <c r="D58" s="300">
        <v>0</v>
      </c>
      <c r="E58" s="543" t="s">
        <v>67</v>
      </c>
      <c r="F58" s="300">
        <v>3000</v>
      </c>
      <c r="G58" s="300">
        <f t="shared" si="37"/>
        <v>0</v>
      </c>
      <c r="H58" s="345"/>
      <c r="I58" s="300">
        <f t="shared" si="38"/>
        <v>0</v>
      </c>
      <c r="J58" s="300">
        <f t="shared" si="39"/>
        <v>0</v>
      </c>
      <c r="K58" s="325"/>
    </row>
    <row r="59" spans="1:12" hidden="1">
      <c r="A59" s="39" t="s">
        <v>404</v>
      </c>
      <c r="B59" s="324" t="s">
        <v>398</v>
      </c>
      <c r="C59" s="250"/>
      <c r="D59" s="300">
        <v>0</v>
      </c>
      <c r="E59" s="543" t="s">
        <v>67</v>
      </c>
      <c r="F59" s="5">
        <v>1600</v>
      </c>
      <c r="G59" s="300">
        <f t="shared" si="37"/>
        <v>0</v>
      </c>
      <c r="H59" s="72"/>
      <c r="I59" s="300">
        <f t="shared" si="38"/>
        <v>0</v>
      </c>
      <c r="J59" s="300">
        <f t="shared" si="39"/>
        <v>0</v>
      </c>
      <c r="K59" s="325"/>
    </row>
    <row r="60" spans="1:12" hidden="1">
      <c r="A60" s="39" t="s">
        <v>405</v>
      </c>
      <c r="B60" s="572" t="s">
        <v>399</v>
      </c>
      <c r="C60" s="250"/>
      <c r="D60" s="300">
        <v>0</v>
      </c>
      <c r="E60" s="543" t="s">
        <v>59</v>
      </c>
      <c r="F60" s="300">
        <v>12.5</v>
      </c>
      <c r="G60" s="300">
        <f t="shared" si="37"/>
        <v>0</v>
      </c>
      <c r="H60" s="44"/>
      <c r="I60" s="300">
        <f t="shared" si="38"/>
        <v>0</v>
      </c>
      <c r="J60" s="300">
        <f t="shared" si="39"/>
        <v>0</v>
      </c>
      <c r="K60" s="325"/>
    </row>
    <row r="61" spans="1:12" hidden="1">
      <c r="A61" s="39" t="s">
        <v>406</v>
      </c>
      <c r="B61" s="561" t="s">
        <v>391</v>
      </c>
      <c r="C61" s="250"/>
      <c r="D61" s="300">
        <v>0</v>
      </c>
      <c r="E61" s="543" t="s">
        <v>59</v>
      </c>
      <c r="F61" s="300">
        <v>45</v>
      </c>
      <c r="G61" s="300">
        <f t="shared" si="37"/>
        <v>0</v>
      </c>
      <c r="H61" s="44"/>
      <c r="I61" s="300">
        <f t="shared" si="38"/>
        <v>0</v>
      </c>
      <c r="J61" s="300">
        <f t="shared" si="39"/>
        <v>0</v>
      </c>
      <c r="K61" s="325"/>
      <c r="L61" s="30" t="e">
        <f>+#REF!*0.3</f>
        <v>#REF!</v>
      </c>
    </row>
    <row r="62" spans="1:12" hidden="1">
      <c r="A62" s="39" t="s">
        <v>407</v>
      </c>
      <c r="B62" s="573" t="s">
        <v>400</v>
      </c>
      <c r="C62" s="207"/>
      <c r="D62" s="317">
        <v>0</v>
      </c>
      <c r="E62" s="565" t="s">
        <v>114</v>
      </c>
      <c r="F62" s="317">
        <v>5000</v>
      </c>
      <c r="G62" s="317">
        <f t="shared" si="37"/>
        <v>0</v>
      </c>
      <c r="H62" s="385"/>
      <c r="I62" s="317">
        <f t="shared" si="38"/>
        <v>0</v>
      </c>
      <c r="J62" s="317">
        <f t="shared" si="39"/>
        <v>0</v>
      </c>
      <c r="K62" s="475"/>
    </row>
    <row r="63" spans="1:12" hidden="1">
      <c r="A63" s="340"/>
      <c r="B63" s="574"/>
      <c r="C63" s="309"/>
      <c r="D63" s="341"/>
      <c r="E63" s="568"/>
      <c r="F63" s="341"/>
      <c r="G63" s="341"/>
      <c r="H63" s="380"/>
      <c r="I63" s="341"/>
      <c r="J63" s="341"/>
      <c r="K63" s="571"/>
    </row>
    <row r="64" spans="1:12" hidden="1">
      <c r="A64" s="115"/>
      <c r="B64" s="35" t="s">
        <v>412</v>
      </c>
      <c r="C64" s="310"/>
      <c r="D64" s="54"/>
      <c r="E64" s="55"/>
      <c r="F64" s="54"/>
      <c r="G64" s="54">
        <f>SUM(G56:G62)</f>
        <v>0</v>
      </c>
      <c r="H64" s="54"/>
      <c r="I64" s="54">
        <f>SUM(I56:I62)</f>
        <v>0</v>
      </c>
      <c r="J64" s="54">
        <f>SUM(J56:J62)</f>
        <v>0</v>
      </c>
      <c r="K64" s="559"/>
      <c r="L64" s="30" t="e">
        <f>+#REF!*0.3</f>
        <v>#REF!</v>
      </c>
    </row>
    <row r="65" spans="1:11">
      <c r="A65" s="89"/>
      <c r="B65" s="575"/>
      <c r="C65" s="576"/>
      <c r="D65" s="54"/>
      <c r="E65" s="55"/>
      <c r="F65" s="54"/>
      <c r="G65" s="289"/>
      <c r="H65" s="371"/>
      <c r="I65" s="54"/>
      <c r="J65" s="371"/>
      <c r="K65" s="577"/>
    </row>
    <row r="66" spans="1:11">
      <c r="A66" s="89"/>
      <c r="B66" s="578" t="s">
        <v>382</v>
      </c>
      <c r="C66" s="576"/>
      <c r="D66" s="54"/>
      <c r="E66" s="55"/>
      <c r="F66" s="54"/>
      <c r="G66" s="54">
        <f>G54+G39+G32+G22+G12+G64</f>
        <v>64850</v>
      </c>
      <c r="H66" s="54"/>
      <c r="I66" s="54">
        <f>I54+I39+I32+I22+I12+I64</f>
        <v>34500</v>
      </c>
      <c r="J66" s="54">
        <f>J54+J39+J32+J22+J12+J64</f>
        <v>99350</v>
      </c>
      <c r="K66" s="577"/>
    </row>
  </sheetData>
  <mergeCells count="11">
    <mergeCell ref="A5:A6"/>
    <mergeCell ref="B5:B6"/>
    <mergeCell ref="C5:C6"/>
    <mergeCell ref="D5:D6"/>
    <mergeCell ref="E5:E6"/>
    <mergeCell ref="D4:F4"/>
    <mergeCell ref="J3:K3"/>
    <mergeCell ref="F5:G5"/>
    <mergeCell ref="H5:I5"/>
    <mergeCell ref="J5:J6"/>
    <mergeCell ref="K5:K6"/>
  </mergeCells>
  <printOptions horizontalCentered="1"/>
  <pageMargins left="0.3543307086614173" right="0.15748031496062992" top="0.39370078740157483" bottom="0.43307086614173229" header="0.39370078740157483" footer="0"/>
  <pageSetup paperSize="9" scale="62" fitToHeight="0" orientation="portrait" r:id="rId1"/>
  <headerFooter alignWithMargins="0">
    <oddFooter>&amp;R&amp;"Browallia New,ธรรมดา"&amp;11แผ่นที่ &amp;P รวม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ปร.5</vt:lpstr>
      <vt:lpstr>สรุปราคา</vt:lpstr>
      <vt:lpstr>Str</vt:lpstr>
      <vt:lpstr>arc</vt:lpstr>
      <vt:lpstr>Sn</vt:lpstr>
      <vt:lpstr>EE</vt:lpstr>
      <vt:lpstr>arc!Print_Area</vt:lpstr>
      <vt:lpstr>EE!Print_Area</vt:lpstr>
      <vt:lpstr>Sn!Print_Area</vt:lpstr>
      <vt:lpstr>Str!Print_Area</vt:lpstr>
      <vt:lpstr>ปร.5!Print_Area</vt:lpstr>
      <vt:lpstr>สรุปราคา!Print_Area</vt:lpstr>
      <vt:lpstr>arc!Print_Titles</vt:lpstr>
      <vt:lpstr>EE!Print_Titles</vt:lpstr>
      <vt:lpstr>Sn!Print_Titles</vt:lpstr>
      <vt:lpstr>Str!Print_Titles</vt:lpstr>
      <vt:lpstr>ปร.5!Print_Titles</vt:lpstr>
      <vt:lpstr>สรุปราคา!Print_Titles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BOQ อาคารเอนกประสงค์</dc:title>
  <dc:creator>T.P.F.C. Consultants Co.,Ltd.</dc:creator>
  <dc:description>สรุปประมาณราคาค่าก่อสร้างงานอาคารเอนกประสงค์และฝึกอบรม มหาวิทยาลัยเกษตรศาสตร์ วิทยาเขตกระบี่</dc:description>
  <cp:lastModifiedBy>USER</cp:lastModifiedBy>
  <cp:lastPrinted>2021-11-05T09:25:31Z</cp:lastPrinted>
  <dcterms:created xsi:type="dcterms:W3CDTF">2000-06-28T07:40:52Z</dcterms:created>
  <dcterms:modified xsi:type="dcterms:W3CDTF">2021-11-05T09:25:35Z</dcterms:modified>
</cp:coreProperties>
</file>